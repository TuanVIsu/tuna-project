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NTANH\RaSoat_ĐCCT\CTĐT_2026_GUI_A.CUONG\CT─ÉT_2026_GUI_A.CUONG\"/>
    </mc:Choice>
  </mc:AlternateContent>
  <xr:revisionPtr revIDLastSave="0" documentId="13_ncr:1_{E7C3857C-034E-4F29-AC60-37A1D22DC351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HTTT_2026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5" i="3" l="1"/>
  <c r="P94" i="3"/>
  <c r="N93" i="3"/>
  <c r="O92" i="3"/>
  <c r="P91" i="3"/>
  <c r="O91" i="3"/>
  <c r="M90" i="3"/>
  <c r="N89" i="3"/>
  <c r="P89" i="3"/>
  <c r="M89" i="3"/>
  <c r="O89" i="3"/>
  <c r="O88" i="3"/>
  <c r="M88" i="3"/>
  <c r="K88" i="3"/>
  <c r="K87" i="3"/>
  <c r="O87" i="3"/>
  <c r="M87" i="3"/>
  <c r="M86" i="3"/>
  <c r="K86" i="3"/>
  <c r="M84" i="3"/>
  <c r="K84" i="3"/>
  <c r="K83" i="3"/>
  <c r="K96" i="3" s="1"/>
  <c r="K100" i="3" s="1"/>
  <c r="E157" i="3"/>
  <c r="H149" i="3"/>
  <c r="E134" i="3"/>
  <c r="E131" i="3"/>
  <c r="E126" i="3"/>
  <c r="H126" i="3" s="1"/>
  <c r="E116" i="3"/>
  <c r="H116" i="3" s="1"/>
  <c r="E98" i="3"/>
  <c r="H91" i="3"/>
  <c r="E75" i="3"/>
  <c r="H75" i="3" s="1"/>
  <c r="E65" i="3"/>
  <c r="H65" i="3" s="1"/>
  <c r="E55" i="3"/>
  <c r="H55" i="3" s="1"/>
  <c r="H43" i="3"/>
  <c r="E31" i="3"/>
  <c r="H31" i="3" s="1"/>
  <c r="H18" i="3"/>
  <c r="E14" i="3"/>
  <c r="M83" i="3" s="1"/>
  <c r="M96" i="3" s="1"/>
  <c r="P96" i="3" l="1"/>
  <c r="N96" i="3"/>
  <c r="O95" i="3"/>
  <c r="E159" i="3"/>
  <c r="H159" i="3" s="1"/>
  <c r="E138" i="3"/>
  <c r="O93" i="3"/>
  <c r="E102" i="3"/>
  <c r="H102" i="3" s="1"/>
  <c r="O90" i="3"/>
  <c r="L100" i="3" l="1"/>
  <c r="N100" i="3"/>
  <c r="H171" i="3"/>
  <c r="H166" i="3"/>
  <c r="O96" i="3"/>
  <c r="M100" i="3" s="1"/>
</calcChain>
</file>

<file path=xl/sharedStrings.xml><?xml version="1.0" encoding="utf-8"?>
<sst xmlns="http://schemas.openxmlformats.org/spreadsheetml/2006/main" count="461" uniqueCount="246">
  <si>
    <t>KẾ HOẠCH ĐIỀU CHỈNH HỌC TẬP (03 học kỳ chính/năm)</t>
  </si>
  <si>
    <t>NGÀNH ĐÀO TẠO: HỆ THỐNG THÔNG TIN</t>
  </si>
  <si>
    <t>Chuyên ngành đào tạo: Hệ thống thông tin</t>
  </si>
  <si>
    <t>Mã ngành: 7480104; Khóa: 2025; Mã lớp: HTTT2511</t>
  </si>
  <si>
    <t>HỌC KỲ 1 NĂM HỌC 2025-2026</t>
  </si>
  <si>
    <t>Học kỳ 1</t>
  </si>
  <si>
    <t>STT</t>
  </si>
  <si>
    <t>Mã HP</t>
  </si>
  <si>
    <t>Tên HP</t>
  </si>
  <si>
    <t>Số TC</t>
  </si>
  <si>
    <t>Bắt buộc</t>
  </si>
  <si>
    <t>Tự chọn</t>
  </si>
  <si>
    <t>Học trước (a)/tiên quyết (b)/song hành (c)</t>
  </si>
  <si>
    <t>Số TC
TL</t>
  </si>
  <si>
    <t>TT052</t>
  </si>
  <si>
    <t>Tin học đại cương</t>
  </si>
  <si>
    <t>3(2,1,0)</t>
  </si>
  <si>
    <t>TT229</t>
  </si>
  <si>
    <t>Giải tích cho công nghệ thông tin</t>
  </si>
  <si>
    <t>3(3,0,0)</t>
  </si>
  <si>
    <t>CB040</t>
  </si>
  <si>
    <t>Triết học Mác - Lênin</t>
  </si>
  <si>
    <t>NN052</t>
  </si>
  <si>
    <t>Nhật ngữ căn bản 1</t>
  </si>
  <si>
    <t>4(4,0,0)</t>
  </si>
  <si>
    <t>CB023</t>
  </si>
  <si>
    <t>Anh văn căn bản 1</t>
  </si>
  <si>
    <t>Tổng cộng</t>
  </si>
  <si>
    <t>HỌC KỲ 2 NĂM HỌC 2025-2026</t>
  </si>
  <si>
    <t>Học kỳ 2</t>
  </si>
  <si>
    <t>CB004</t>
  </si>
  <si>
    <t>Pháp luật đại cương và quyền con người</t>
  </si>
  <si>
    <t>TT004</t>
  </si>
  <si>
    <t>Kỹ thuật lập trình</t>
  </si>
  <si>
    <t>TT052(a)</t>
  </si>
  <si>
    <t>NN053</t>
  </si>
  <si>
    <t>Nhật ngữ căn bản 2</t>
  </si>
  <si>
    <t>NN052(a)</t>
  </si>
  <si>
    <t>CB024</t>
  </si>
  <si>
    <t>Anh văn căn bản 2</t>
  </si>
  <si>
    <t>CB023(a)</t>
  </si>
  <si>
    <t>CB006</t>
  </si>
  <si>
    <t>Xác suất và thống kê</t>
  </si>
  <si>
    <t>2(2,0,0)</t>
  </si>
  <si>
    <t>CB033(a)</t>
  </si>
  <si>
    <t>CB041</t>
  </si>
  <si>
    <t>Kinh tế chính trị Mác - Lênin</t>
  </si>
  <si>
    <t>CB040(a)</t>
  </si>
  <si>
    <t>TT189</t>
  </si>
  <si>
    <t>Nhập môn Hệ thống thông tin</t>
  </si>
  <si>
    <t>HỌC KỲ 3 NĂM HỌC 2025-2026</t>
  </si>
  <si>
    <t>Học kỳ 3</t>
  </si>
  <si>
    <t>CB035</t>
  </si>
  <si>
    <t>Giáo dục thể chất 1</t>
  </si>
  <si>
    <t>1(0,1,0)</t>
  </si>
  <si>
    <t>CB036</t>
  </si>
  <si>
    <t>Giáo dục thể chất 2</t>
  </si>
  <si>
    <t>CB037</t>
  </si>
  <si>
    <t>Giáo dục thể chất 3</t>
  </si>
  <si>
    <t>CB050</t>
  </si>
  <si>
    <t>GDQP1: Đường lối quốc phòng và an ninh của Đảng Cộng sản Việt Nam</t>
  </si>
  <si>
    <t>2(1,1,0)</t>
  </si>
  <si>
    <t>CB051</t>
  </si>
  <si>
    <t>GDQP2: Công tác quốc phòng và an ninh</t>
  </si>
  <si>
    <t>CB052</t>
  </si>
  <si>
    <t>GDQP3: Quân sự chung</t>
  </si>
  <si>
    <t>CB053</t>
  </si>
  <si>
    <t>GDQP4: Kỹ thuật chiến đấu bộ binh và chiến thuật</t>
  </si>
  <si>
    <t>HỌC KỲ 1 NĂM HỌC 2026-2027</t>
  </si>
  <si>
    <t>Học kỳ 4</t>
  </si>
  <si>
    <t>CB025</t>
  </si>
  <si>
    <t>Anh văn căn bản 3</t>
  </si>
  <si>
    <t>CB024(a)</t>
  </si>
  <si>
    <t>NN054</t>
  </si>
  <si>
    <t>Nhật ngữ căn bản 3</t>
  </si>
  <si>
    <t>NN053(a)</t>
  </si>
  <si>
    <t>CB003</t>
  </si>
  <si>
    <t>Đại số tuyến tính</t>
  </si>
  <si>
    <t>CB011</t>
  </si>
  <si>
    <t>Phương pháp NCKH</t>
  </si>
  <si>
    <t>TT001</t>
  </si>
  <si>
    <t>Cấu trúc dữ liệu và giải thuật</t>
  </si>
  <si>
    <t>TT004(a)</t>
  </si>
  <si>
    <t>TT008</t>
  </si>
  <si>
    <t>Lập trình hướng đối tượng</t>
  </si>
  <si>
    <t>CB042</t>
  </si>
  <si>
    <t>Chủ nghĩa xã hội khoa học</t>
  </si>
  <si>
    <t>CB041(a)</t>
  </si>
  <si>
    <t>HỌC KỲ 2 NĂM HỌC 2026-2027</t>
  </si>
  <si>
    <t>Học kỳ 5</t>
  </si>
  <si>
    <t>TT227</t>
  </si>
  <si>
    <t>Pháp luật Công nghệ thông tin và Dữ liệu số</t>
  </si>
  <si>
    <t>TT007</t>
  </si>
  <si>
    <t>Cơ sở dữ liệu</t>
  </si>
  <si>
    <t>TT226</t>
  </si>
  <si>
    <t>Mô hình toán học</t>
  </si>
  <si>
    <t>TT014</t>
  </si>
  <si>
    <t>Phân tích và thiết kế hệ thống thông tin</t>
  </si>
  <si>
    <t>TT004(a)
TT007(c)</t>
  </si>
  <si>
    <t>CB043</t>
  </si>
  <si>
    <t>Tư tưởng Hồ Chí Minh</t>
  </si>
  <si>
    <t>CB042(a)</t>
  </si>
  <si>
    <t>HỌC KỲ 3 NĂM HỌC 2026-2027</t>
  </si>
  <si>
    <t>Học kỳ 6</t>
  </si>
  <si>
    <t>CB044</t>
  </si>
  <si>
    <t>Lịch sử Đảng Cộng sản Việt Nam</t>
  </si>
  <si>
    <t>CB043(a)</t>
  </si>
  <si>
    <t>TT012</t>
  </si>
  <si>
    <t>Hệ quản trị cơ sở dữ liệu</t>
  </si>
  <si>
    <t>TT007(a)</t>
  </si>
  <si>
    <t>TT006</t>
  </si>
  <si>
    <t>Mạng máy tính</t>
  </si>
  <si>
    <t>TT002</t>
  </si>
  <si>
    <t>Toán rời rạc</t>
  </si>
  <si>
    <t>TT021</t>
  </si>
  <si>
    <t>Lập trình Java 1</t>
  </si>
  <si>
    <t>HỌC KỲ 1 NĂM HỌC 2027-2028</t>
  </si>
  <si>
    <t>Học kỳ 7</t>
  </si>
  <si>
    <t>TT042</t>
  </si>
  <si>
    <t>Đồ án Hệ thống thông tin 1</t>
  </si>
  <si>
    <t>2(0,2,0)</t>
  </si>
  <si>
    <t>TT024</t>
  </si>
  <si>
    <t>Lập trình Java 2</t>
  </si>
  <si>
    <t>TT021(a)</t>
  </si>
  <si>
    <t>TT022</t>
  </si>
  <si>
    <t>Lập trình Web</t>
  </si>
  <si>
    <t>TT242</t>
  </si>
  <si>
    <t>Kỹ năng số</t>
  </si>
  <si>
    <t>TT035</t>
  </si>
  <si>
    <t>Hệ chuyên gia</t>
  </si>
  <si>
    <t>TT009(a)</t>
  </si>
  <si>
    <t>TT040</t>
  </si>
  <si>
    <t>Nhập môn công nghệ phần mềm</t>
  </si>
  <si>
    <t>TT093</t>
  </si>
  <si>
    <t>Hệ cơ sở dữ liệu NoSQL</t>
  </si>
  <si>
    <t>TT031</t>
  </si>
  <si>
    <t>Hệ thống thông tin địa lý</t>
  </si>
  <si>
    <t>TT034</t>
  </si>
  <si>
    <t>Quản lý an ninh thông tin</t>
  </si>
  <si>
    <t>TT236</t>
  </si>
  <si>
    <t>Tiếng Anh Công nghệ thông tin</t>
  </si>
  <si>
    <t>NN060</t>
  </si>
  <si>
    <t>Nhật ngữ nâng cao</t>
  </si>
  <si>
    <t>HỌC KỲ 2 NĂM HỌC 2027-2028</t>
  </si>
  <si>
    <t>Học kỳ 8</t>
  </si>
  <si>
    <t>TT043</t>
  </si>
  <si>
    <t>Đồ án Hệ thống thông tin 2</t>
  </si>
  <si>
    <t>TT160</t>
  </si>
  <si>
    <t>Logic học</t>
  </si>
  <si>
    <t>TT154</t>
  </si>
  <si>
    <t>Máy học ứng dụng</t>
  </si>
  <si>
    <t>TT037</t>
  </si>
  <si>
    <t>Khai phá dữ liệu</t>
  </si>
  <si>
    <t>TT237</t>
  </si>
  <si>
    <t>Ứng dụng trí tuệ nhân tạo trong chuyên ngành HTTT</t>
  </si>
  <si>
    <t>HỌC KỲ 3 NĂM HỌC 2027-2028</t>
  </si>
  <si>
    <t>Học kỳ 9</t>
  </si>
  <si>
    <t>TT051</t>
  </si>
  <si>
    <t>Thương mại điện tử</t>
  </si>
  <si>
    <t>TT044</t>
  </si>
  <si>
    <t>Đồ án Hệ thống thông tin 3</t>
  </si>
  <si>
    <t>TT036</t>
  </si>
  <si>
    <t>Xử lý ảnh và thị giác máy tính</t>
  </si>
  <si>
    <t>TT077</t>
  </si>
  <si>
    <t>Lập trình mô phỏng</t>
  </si>
  <si>
    <t>TT064</t>
  </si>
  <si>
    <t>An toàn và bảo mật thông tin</t>
  </si>
  <si>
    <t>TT004(a), TT006(a), TT008(a)</t>
  </si>
  <si>
    <t>TT102</t>
  </si>
  <si>
    <t>Thu thập và tiền xử lý dữ liệu</t>
  </si>
  <si>
    <t>TT190</t>
  </si>
  <si>
    <t>Tin học văn phòng nâng cao</t>
  </si>
  <si>
    <t>3(1,2,0)</t>
  </si>
  <si>
    <t>TT187</t>
  </si>
  <si>
    <t>Nguyên lý kho dữ liệu và OLAP</t>
  </si>
  <si>
    <t>TT050</t>
  </si>
  <si>
    <t>Chứng thực và an toàn dữ liệu trong thương mại điện tử</t>
  </si>
  <si>
    <t>TT051(c)</t>
  </si>
  <si>
    <t>HỌC KỲ 1 NĂM HỌC 2028-2029</t>
  </si>
  <si>
    <t>Học kỳ 10</t>
  </si>
  <si>
    <t>TT015</t>
  </si>
  <si>
    <t>Quản trị dự án công nghệ thông tin</t>
  </si>
  <si>
    <t>TT029</t>
  </si>
  <si>
    <t>Xây dựng và triển khai ứng dụng thương mại điện tử</t>
  </si>
  <si>
    <t>TT017</t>
  </si>
  <si>
    <t>Hệ trợ giúp quyết định</t>
  </si>
  <si>
    <t>TT009</t>
  </si>
  <si>
    <t>Trí tuệ nhân tạo</t>
  </si>
  <si>
    <t>TT001(a)</t>
  </si>
  <si>
    <t>TT020</t>
  </si>
  <si>
    <t>Công nghệ .NET</t>
  </si>
  <si>
    <t>TT008(a)</t>
  </si>
  <si>
    <t>HỌC KỲ 2 NĂM HỌC 2028-2029</t>
  </si>
  <si>
    <t>Học kỳ 11</t>
  </si>
  <si>
    <t>TT235</t>
  </si>
  <si>
    <t>Thực tập thực tế ngành nghề</t>
  </si>
  <si>
    <t>TT188</t>
  </si>
  <si>
    <t>Phát triển ứng dụng IoT</t>
  </si>
  <si>
    <t>TT011</t>
  </si>
  <si>
    <t>An toàn các hệ thống thông tin</t>
  </si>
  <si>
    <t>TT006(a)</t>
  </si>
  <si>
    <t>TT094</t>
  </si>
  <si>
    <t>Điện toán đám mây</t>
  </si>
  <si>
    <t>CB012</t>
  </si>
  <si>
    <t>Kỹ năng giao tiếp</t>
  </si>
  <si>
    <t>CB049</t>
  </si>
  <si>
    <t>Đổi mới sáng tạo và khởi nghiệp</t>
  </si>
  <si>
    <t>TT185</t>
  </si>
  <si>
    <t>Các nền tảng hệ thống thông minh</t>
  </si>
  <si>
    <t>HỌC KỲ 3 NĂM HỌC 2028-2029</t>
  </si>
  <si>
    <t>Học kỳ 12</t>
  </si>
  <si>
    <t>TT023</t>
  </si>
  <si>
    <t>Phần mềm mã nguồn mở</t>
  </si>
  <si>
    <t>TT109</t>
  </si>
  <si>
    <t>Học sâu</t>
  </si>
  <si>
    <t>TT103</t>
  </si>
  <si>
    <t>Phân tích và trực quan dữ liệu</t>
  </si>
  <si>
    <t>TT228</t>
  </si>
  <si>
    <t>Thực tập thực tế ngành nghề tại doanh nghiệp</t>
  </si>
  <si>
    <t>TT192</t>
  </si>
  <si>
    <t>Đồ án tốt nghiệp Hệ thống thông tin</t>
  </si>
  <si>
    <t>10(0,10,0)</t>
  </si>
  <si>
    <t>TT197</t>
  </si>
  <si>
    <t>Thực tập tốt nghiệp Hệ thống thông tin</t>
  </si>
  <si>
    <t>HỌC KỲ 1 NĂM HỌC 2029-2030</t>
  </si>
  <si>
    <t>Học kỳ 13</t>
  </si>
  <si>
    <t>TT048</t>
  </si>
  <si>
    <t>Hệ cơ sở dữ liệu đa phương tiện</t>
  </si>
  <si>
    <t>TT124</t>
  </si>
  <si>
    <t>Phân tích cơ sở dữ liệu lớn</t>
  </si>
  <si>
    <t>TT049</t>
  </si>
  <si>
    <t>Tương tác người - máy</t>
  </si>
  <si>
    <t>TT168</t>
  </si>
  <si>
    <t>Blockchain căn bản</t>
  </si>
  <si>
    <t>Duyệt</t>
  </si>
  <si>
    <t>TP.Cần Thơ, ngày 19 tháng 02 năm 2025</t>
  </si>
  <si>
    <t>Trưởng Khoa</t>
  </si>
  <si>
    <t>Trưởng Bộ môn</t>
  </si>
  <si>
    <t>Cơ sở ngành</t>
  </si>
  <si>
    <t>Chuyên ngành</t>
  </si>
  <si>
    <t>Đại cương</t>
  </si>
  <si>
    <t>Giáo dục đại cương</t>
  </si>
  <si>
    <t>Kiến thức cơ sở ngành</t>
  </si>
  <si>
    <t>Kiến thức chuyên ngành</t>
  </si>
  <si>
    <t>Tính toán song song và phân tán</t>
  </si>
  <si>
    <t>TT101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</si>
</sst>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34">
    <font>
      <sz val="11"/>
      <color rgb="FF000000"/>
      <name val="Calibri"/>
      <charset val="134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b/>
      <sz val="14"/>
      <color rgb="FF000000"/>
      <name val="Times New Roman"/>
      <family val="1"/>
    </font>
    <font>
      <b/>
      <sz val="10"/>
      <color rgb="FFFF000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i/>
      <sz val="9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</font>
    <font>
      <i/>
      <sz val="10"/>
      <color theme="1"/>
      <name val="Arial"/>
      <family val="2"/>
    </font>
    <font>
      <strike/>
      <sz val="10"/>
      <color theme="1"/>
      <name val="Arial"/>
      <family val="2"/>
    </font>
    <font>
      <sz val="13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theme="0"/>
      <name val="Times New Roman"/>
      <family val="1"/>
    </font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1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>
      <alignment vertical="center"/>
    </xf>
  </cellStyleXfs>
  <cellXfs count="1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1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0" fillId="0" borderId="13" xfId="0" applyBorder="1"/>
    <xf numFmtId="0" fontId="7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2" fillId="0" borderId="0" xfId="0" applyFont="1"/>
    <xf numFmtId="0" fontId="7" fillId="0" borderId="0" xfId="0" applyFont="1"/>
    <xf numFmtId="0" fontId="3" fillId="0" borderId="0" xfId="0" applyFont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3" fillId="0" borderId="0" xfId="0" applyFont="1"/>
    <xf numFmtId="0" fontId="14" fillId="3" borderId="3" xfId="0" applyFont="1" applyFill="1" applyBorder="1" applyAlignment="1">
      <alignment horizontal="center"/>
    </xf>
    <xf numFmtId="0" fontId="14" fillId="3" borderId="3" xfId="0" applyFont="1" applyFill="1" applyBorder="1" applyAlignment="1">
      <alignment wrapText="1"/>
    </xf>
    <xf numFmtId="0" fontId="6" fillId="0" borderId="7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6" fillId="0" borderId="3" xfId="0" applyFont="1" applyBorder="1" applyAlignment="1">
      <alignment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3" fillId="3" borderId="3" xfId="0" applyFont="1" applyFill="1" applyBorder="1"/>
    <xf numFmtId="0" fontId="19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 wrapText="1" readingOrder="1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/>
    <xf numFmtId="0" fontId="6" fillId="0" borderId="3" xfId="0" quotePrefix="1" applyFont="1" applyBorder="1" applyAlignment="1">
      <alignment horizontal="center" vertical="center"/>
    </xf>
    <xf numFmtId="0" fontId="6" fillId="0" borderId="7" xfId="0" quotePrefix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8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5" fillId="0" borderId="7" xfId="0" applyFont="1" applyBorder="1"/>
    <xf numFmtId="0" fontId="6" fillId="0" borderId="1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14" xfId="0" applyFont="1" applyBorder="1"/>
    <xf numFmtId="0" fontId="25" fillId="0" borderId="0" xfId="0" applyFont="1"/>
    <xf numFmtId="0" fontId="26" fillId="0" borderId="0" xfId="0" applyFont="1"/>
    <xf numFmtId="0" fontId="5" fillId="0" borderId="7" xfId="0" applyFont="1" applyBorder="1" applyAlignment="1"/>
    <xf numFmtId="0" fontId="6" fillId="0" borderId="15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32" fillId="0" borderId="7" xfId="0" applyFont="1" applyBorder="1"/>
    <xf numFmtId="0" fontId="11" fillId="0" borderId="0" xfId="0" applyFont="1" applyAlignment="1"/>
    <xf numFmtId="0" fontId="6" fillId="0" borderId="16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168" fontId="30" fillId="0" borderId="13" xfId="1" applyNumberFormat="1" applyFont="1" applyBorder="1" applyAlignment="1">
      <alignment horizontal="center"/>
    </xf>
    <xf numFmtId="0" fontId="26" fillId="0" borderId="13" xfId="0" applyFont="1" applyBorder="1"/>
    <xf numFmtId="0" fontId="27" fillId="0" borderId="13" xfId="0" applyFont="1" applyBorder="1" applyAlignment="1">
      <alignment horizontal="center"/>
    </xf>
    <xf numFmtId="168" fontId="25" fillId="0" borderId="13" xfId="1" applyNumberFormat="1" applyFont="1" applyBorder="1" applyAlignment="1">
      <alignment horizontal="center"/>
    </xf>
    <xf numFmtId="0" fontId="28" fillId="0" borderId="13" xfId="0" applyFont="1" applyBorder="1"/>
    <xf numFmtId="0" fontId="29" fillId="4" borderId="13" xfId="0" applyFont="1" applyFill="1" applyBorder="1"/>
    <xf numFmtId="0" fontId="26" fillId="4" borderId="13" xfId="0" applyFont="1" applyFill="1" applyBorder="1"/>
    <xf numFmtId="0" fontId="28" fillId="4" borderId="13" xfId="0" applyFont="1" applyFill="1" applyBorder="1"/>
    <xf numFmtId="0" fontId="1" fillId="0" borderId="13" xfId="0" applyFont="1" applyBorder="1"/>
    <xf numFmtId="168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168" fontId="6" fillId="0" borderId="13" xfId="0" applyNumberFormat="1" applyFont="1" applyBorder="1"/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168" fontId="33" fillId="0" borderId="1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0</xdr:row>
      <xdr:rowOff>0</xdr:rowOff>
    </xdr:from>
    <xdr:ext cx="3524250" cy="57086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599305" y="0"/>
          <a:ext cx="3524250" cy="570865"/>
        </a:xfrm>
        <a:prstGeom prst="rect">
          <a:avLst/>
        </a:prstGeom>
        <a:noFill/>
        <a:ln>
          <a:noFill/>
        </a:ln>
      </xdr:spPr>
      <xdr:txBody>
        <a:bodyPr spcFirstLastPara="1" wrap="square" lIns="27425" tIns="22850" rIns="27425" bIns="0" anchor="t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 u="none" strike="noStrike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CỘNG HÒA XÃ HỘI CHỦ NGHĨA VIỆT NAM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 b="1" i="0" u="none" strike="noStrike">
              <a:solidFill>
                <a:srgbClr val="000000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Độc lập - Tự do - Hạnh phúc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300" b="1" i="0" u="none" strike="noStrike">
            <a:solidFill>
              <a:srgbClr val="000000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400425" cy="746760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0"/>
          <a:ext cx="3400425" cy="74676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TRƯỜNG ĐẠI HỌC</a:t>
          </a:r>
          <a:endParaRPr sz="1300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KỸ THUẬT - CÔNG NGHỆ CẦN THƠ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300" b="1">
              <a:solidFill>
                <a:schemeClr val="dk1"/>
              </a:solidFill>
              <a:latin typeface="Times New Roman" panose="02020603050405020304" pitchFamily="12"/>
              <a:ea typeface="Times New Roman" panose="02020603050405020304" pitchFamily="12"/>
              <a:cs typeface="Times New Roman" panose="02020603050405020304" pitchFamily="12"/>
              <a:sym typeface="Times New Roman" panose="02020603050405020304" pitchFamily="12"/>
            </a:rPr>
            <a:t>KHOA CÔNG NGHỆ THÔNG TIN</a:t>
          </a:r>
          <a:endParaRPr sz="1300" b="1">
            <a:solidFill>
              <a:schemeClr val="dk1"/>
            </a:solidFill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lang="en-US" sz="1300" b="1">
            <a:latin typeface="Times New Roman" panose="02020603050405020304" pitchFamily="12"/>
            <a:ea typeface="Times New Roman" panose="02020603050405020304" pitchFamily="12"/>
            <a:cs typeface="Times New Roman" panose="02020603050405020304" pitchFamily="12"/>
            <a:sym typeface="Times New Roman" panose="02020603050405020304" pitchFamily="12"/>
          </a:endParaRPr>
        </a:p>
      </xdr:txBody>
    </xdr:sp>
    <xdr:clientData fLocksWithSheet="0"/>
  </xdr:oneCellAnchor>
  <xdr:oneCellAnchor>
    <xdr:from>
      <xdr:col>4</xdr:col>
      <xdr:colOff>561975</xdr:colOff>
      <xdr:row>2</xdr:row>
      <xdr:rowOff>0</xdr:rowOff>
    </xdr:from>
    <xdr:ext cx="1228725" cy="381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5318873" y="392206"/>
          <a:ext cx="1228725" cy="38100"/>
          <a:chOff x="4731638" y="3780000"/>
          <a:chExt cx="1228725" cy="0"/>
        </a:xfrm>
      </xdr:grpSpPr>
      <xdr:cxnSp macro="">
        <xdr:nvCxn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>
            <a:off x="4731638" y="3780000"/>
            <a:ext cx="12287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198"/>
  <sheetViews>
    <sheetView tabSelected="1" topLeftCell="A2" zoomScale="85" zoomScaleNormal="85" workbookViewId="0">
      <selection activeCell="D20" sqref="D20"/>
    </sheetView>
  </sheetViews>
  <sheetFormatPr defaultColWidth="14.3984375" defaultRowHeight="15" customHeight="1"/>
  <cols>
    <col min="1" max="1" width="6.265625" customWidth="1"/>
    <col min="2" max="2" width="8" customWidth="1"/>
    <col min="3" max="3" width="41.73046875" customWidth="1"/>
    <col min="4" max="4" width="10.59765625" customWidth="1"/>
    <col min="5" max="5" width="9.3984375" customWidth="1"/>
    <col min="6" max="6" width="8.86328125" customWidth="1"/>
    <col min="7" max="7" width="22.265625" customWidth="1"/>
    <col min="8" max="8" width="7" customWidth="1"/>
    <col min="9" max="9" width="2.73046875" customWidth="1"/>
    <col min="10" max="270" width="10.86328125" customWidth="1"/>
  </cols>
  <sheetData>
    <row r="1" spans="1:270" ht="15.4">
      <c r="A1" s="1" t="e">
        <v>#VALUE!</v>
      </c>
      <c r="B1" s="2"/>
      <c r="C1" s="1"/>
      <c r="D1" s="1"/>
      <c r="E1" s="103"/>
      <c r="F1" s="103"/>
      <c r="G1" s="103"/>
      <c r="H1" s="10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</row>
    <row r="2" spans="1:270" ht="15.4">
      <c r="A2" s="1"/>
      <c r="B2" s="2"/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</row>
    <row r="3" spans="1:270" ht="15.4">
      <c r="A3" s="1"/>
      <c r="B3" s="2"/>
      <c r="C3" s="1"/>
      <c r="D3" s="1"/>
      <c r="E3" s="1"/>
      <c r="F3" s="1"/>
      <c r="G3" s="1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</row>
    <row r="4" spans="1:270" ht="15.4">
      <c r="A4" s="1"/>
      <c r="B4" s="2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</row>
    <row r="5" spans="1:270" ht="17.25">
      <c r="A5" s="104" t="s">
        <v>0</v>
      </c>
      <c r="B5" s="104"/>
      <c r="C5" s="104"/>
      <c r="D5" s="104"/>
      <c r="E5" s="104"/>
      <c r="F5" s="104"/>
      <c r="G5" s="104"/>
      <c r="H5" s="104"/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</row>
    <row r="6" spans="1:270" ht="17.25">
      <c r="A6" s="104" t="s">
        <v>1</v>
      </c>
      <c r="B6" s="104"/>
      <c r="C6" s="104"/>
      <c r="D6" s="104"/>
      <c r="E6" s="104"/>
      <c r="F6" s="104"/>
      <c r="G6" s="104"/>
      <c r="H6" s="104"/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</row>
    <row r="7" spans="1:270" ht="17.649999999999999">
      <c r="A7" s="105" t="s">
        <v>2</v>
      </c>
      <c r="B7" s="105"/>
      <c r="C7" s="105"/>
      <c r="D7" s="105"/>
      <c r="E7" s="105"/>
      <c r="F7" s="105"/>
      <c r="G7" s="105"/>
      <c r="H7" s="10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</row>
    <row r="8" spans="1:270" ht="17.649999999999999">
      <c r="A8" s="105" t="s">
        <v>3</v>
      </c>
      <c r="B8" s="105"/>
      <c r="C8" s="105"/>
      <c r="D8" s="105"/>
      <c r="E8" s="105"/>
      <c r="F8" s="105"/>
      <c r="G8" s="105"/>
      <c r="H8" s="105"/>
      <c r="I8" s="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</row>
    <row r="9" spans="1:270" ht="17.649999999999999">
      <c r="A9" s="4"/>
      <c r="B9" s="5"/>
      <c r="C9" s="6"/>
      <c r="D9" s="6"/>
      <c r="E9" s="6"/>
      <c r="F9" s="6"/>
      <c r="G9" s="6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</row>
    <row r="10" spans="1:270" ht="17.25">
      <c r="A10" s="106" t="s">
        <v>4</v>
      </c>
      <c r="B10" s="107"/>
      <c r="C10" s="107"/>
      <c r="D10" s="107"/>
      <c r="E10" s="107"/>
      <c r="F10" s="107"/>
      <c r="G10" s="107"/>
      <c r="H10" s="108"/>
      <c r="I10" s="41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</row>
    <row r="11" spans="1:270" ht="17.649999999999999">
      <c r="A11" s="109" t="s">
        <v>5</v>
      </c>
      <c r="B11" s="107"/>
      <c r="C11" s="107"/>
      <c r="D11" s="107"/>
      <c r="E11" s="107"/>
      <c r="F11" s="107"/>
      <c r="G11" s="107"/>
      <c r="H11" s="108"/>
      <c r="I11" s="41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</row>
    <row r="12" spans="1:270" ht="49.5" customHeight="1">
      <c r="A12" s="7" t="s">
        <v>6</v>
      </c>
      <c r="B12" s="7" t="s">
        <v>7</v>
      </c>
      <c r="C12" s="7" t="s">
        <v>8</v>
      </c>
      <c r="D12" s="7" t="s">
        <v>9</v>
      </c>
      <c r="E12" s="7" t="s">
        <v>10</v>
      </c>
      <c r="F12" s="7" t="s">
        <v>11</v>
      </c>
      <c r="G12" s="7" t="s">
        <v>12</v>
      </c>
      <c r="H12" s="7" t="s">
        <v>13</v>
      </c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  <c r="HC12" s="43"/>
      <c r="HD12" s="43"/>
      <c r="HE12" s="43"/>
      <c r="HF12" s="43"/>
      <c r="HG12" s="43"/>
      <c r="HH12" s="43"/>
      <c r="HI12" s="43"/>
      <c r="HJ12" s="43"/>
      <c r="HK12" s="43"/>
      <c r="HL12" s="43"/>
      <c r="HM12" s="43"/>
      <c r="HN12" s="43"/>
      <c r="HO12" s="43"/>
      <c r="HP12" s="43"/>
      <c r="HQ12" s="43"/>
      <c r="HR12" s="43"/>
      <c r="HS12" s="43"/>
      <c r="HT12" s="43"/>
      <c r="HU12" s="43"/>
      <c r="HV12" s="43"/>
      <c r="HW12" s="43"/>
      <c r="HX12" s="43"/>
      <c r="HY12" s="43"/>
      <c r="HZ12" s="43"/>
      <c r="IA12" s="43"/>
      <c r="IB12" s="43"/>
      <c r="IC12" s="43"/>
      <c r="ID12" s="43"/>
      <c r="IE12" s="43"/>
      <c r="IF12" s="43"/>
      <c r="IG12" s="43"/>
      <c r="IH12" s="43"/>
      <c r="II12" s="43"/>
      <c r="IJ12" s="43"/>
      <c r="IK12" s="43"/>
      <c r="IL12" s="43"/>
      <c r="IM12" s="43"/>
      <c r="IN12" s="43"/>
      <c r="IO12" s="43"/>
      <c r="IP12" s="43"/>
      <c r="IQ12" s="43"/>
      <c r="IR12" s="43"/>
      <c r="IS12" s="43"/>
      <c r="IT12" s="43"/>
      <c r="IU12" s="43"/>
      <c r="IV12" s="43"/>
      <c r="IW12" s="43"/>
      <c r="IX12" s="43"/>
      <c r="IY12" s="43"/>
      <c r="IZ12" s="43"/>
      <c r="JA12" s="43"/>
      <c r="JB12" s="43"/>
      <c r="JC12" s="43"/>
      <c r="JD12" s="43"/>
      <c r="JE12" s="43"/>
      <c r="JF12" s="43"/>
      <c r="JG12" s="43"/>
      <c r="JH12" s="43"/>
      <c r="JI12" s="43"/>
      <c r="JJ12" s="43"/>
    </row>
    <row r="13" spans="1:270" ht="14.25">
      <c r="A13" s="8">
        <v>1</v>
      </c>
      <c r="B13" s="8" t="s">
        <v>14</v>
      </c>
      <c r="C13" s="9" t="s">
        <v>15</v>
      </c>
      <c r="D13" s="8" t="s">
        <v>16</v>
      </c>
      <c r="E13" s="8">
        <v>3</v>
      </c>
      <c r="F13" s="8"/>
      <c r="G13" s="12"/>
      <c r="H13" s="8"/>
      <c r="I13" s="26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/>
      <c r="GR13" s="44"/>
      <c r="GS13" s="44"/>
      <c r="GT13" s="44"/>
      <c r="GU13" s="44"/>
      <c r="GV13" s="44"/>
      <c r="GW13" s="44"/>
      <c r="GX13" s="44"/>
      <c r="GY13" s="44"/>
      <c r="GZ13" s="44"/>
      <c r="HA13" s="44"/>
      <c r="HB13" s="44"/>
      <c r="HC13" s="44"/>
      <c r="HD13" s="44"/>
      <c r="HE13" s="44"/>
      <c r="HF13" s="44"/>
      <c r="HG13" s="44"/>
      <c r="HH13" s="44"/>
      <c r="HI13" s="44"/>
      <c r="HJ13" s="44"/>
      <c r="HK13" s="44"/>
      <c r="HL13" s="44"/>
      <c r="HM13" s="44"/>
      <c r="HN13" s="44"/>
      <c r="HO13" s="44"/>
      <c r="HP13" s="44"/>
      <c r="HQ13" s="44"/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/>
      <c r="IN13" s="44"/>
      <c r="IO13" s="44"/>
      <c r="IP13" s="44"/>
      <c r="IQ13" s="44"/>
      <c r="IR13" s="44"/>
      <c r="IS13" s="44"/>
      <c r="IT13" s="44"/>
      <c r="IU13" s="44"/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</row>
    <row r="14" spans="1:270" ht="14.25">
      <c r="A14" s="8">
        <v>2</v>
      </c>
      <c r="B14" s="10" t="s">
        <v>17</v>
      </c>
      <c r="C14" s="11" t="s">
        <v>18</v>
      </c>
      <c r="D14" s="12" t="s">
        <v>19</v>
      </c>
      <c r="E14" s="8">
        <f>VALUE(LEFT(D14,1))</f>
        <v>3</v>
      </c>
      <c r="F14" s="8"/>
      <c r="G14" s="12"/>
      <c r="H14" s="8"/>
      <c r="I14" s="26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/>
      <c r="GX14" s="44"/>
      <c r="GY14" s="44"/>
      <c r="GZ14" s="44"/>
      <c r="HA14" s="44"/>
      <c r="HB14" s="44"/>
      <c r="HC14" s="44"/>
      <c r="HD14" s="44"/>
      <c r="HE14" s="44"/>
      <c r="HF14" s="44"/>
      <c r="HG14" s="44"/>
      <c r="HH14" s="44"/>
      <c r="HI14" s="44"/>
      <c r="HJ14" s="44"/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</row>
    <row r="15" spans="1:270" ht="14.25">
      <c r="A15" s="8">
        <v>3</v>
      </c>
      <c r="B15" s="8" t="s">
        <v>20</v>
      </c>
      <c r="C15" s="9" t="s">
        <v>21</v>
      </c>
      <c r="D15" s="8" t="s">
        <v>19</v>
      </c>
      <c r="E15" s="8">
        <v>3</v>
      </c>
      <c r="F15" s="8"/>
      <c r="G15" s="12"/>
      <c r="H15" s="8"/>
      <c r="I15" s="26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/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</row>
    <row r="16" spans="1:270" ht="14.25">
      <c r="A16" s="8">
        <v>4</v>
      </c>
      <c r="B16" s="8" t="s">
        <v>22</v>
      </c>
      <c r="C16" s="9" t="s">
        <v>23</v>
      </c>
      <c r="D16" s="8" t="s">
        <v>24</v>
      </c>
      <c r="E16" s="128">
        <v>4</v>
      </c>
      <c r="F16" s="127"/>
      <c r="G16" s="12"/>
      <c r="H16" s="8"/>
      <c r="I16" s="26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</row>
    <row r="17" spans="1:270" ht="14.25">
      <c r="A17" s="8">
        <v>5</v>
      </c>
      <c r="B17" s="8" t="s">
        <v>25</v>
      </c>
      <c r="C17" s="9" t="s">
        <v>26</v>
      </c>
      <c r="D17" s="8" t="s">
        <v>24</v>
      </c>
      <c r="E17" s="129"/>
      <c r="F17" s="126"/>
      <c r="G17" s="12"/>
      <c r="H17" s="8"/>
      <c r="I17" s="26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</row>
    <row r="18" spans="1:270" ht="15.4">
      <c r="A18" s="13"/>
      <c r="B18" s="14"/>
      <c r="C18" s="15" t="s">
        <v>27</v>
      </c>
      <c r="D18" s="13"/>
      <c r="E18" s="14">
        <v>13</v>
      </c>
      <c r="F18" s="14"/>
      <c r="G18" s="33"/>
      <c r="H18" s="14">
        <f>SUM(E18:F18)</f>
        <v>13</v>
      </c>
      <c r="I18" s="1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</row>
    <row r="19" spans="1:270" ht="15.4">
      <c r="A19" s="16"/>
      <c r="B19" s="17"/>
      <c r="C19" s="18"/>
      <c r="D19" s="16"/>
      <c r="E19" s="16"/>
      <c r="F19" s="16"/>
      <c r="G19" s="34"/>
      <c r="H19" s="35"/>
      <c r="I19" s="1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</row>
    <row r="20" spans="1:270" ht="15.4">
      <c r="A20" s="16"/>
      <c r="B20" s="17"/>
      <c r="C20" s="18"/>
      <c r="D20" s="16"/>
      <c r="E20" s="16"/>
      <c r="F20" s="16"/>
      <c r="G20" s="34"/>
      <c r="H20" s="35"/>
      <c r="I20" s="1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</row>
    <row r="21" spans="1:270" ht="17.25">
      <c r="A21" s="106" t="s">
        <v>28</v>
      </c>
      <c r="B21" s="107"/>
      <c r="C21" s="107"/>
      <c r="D21" s="107"/>
      <c r="E21" s="107"/>
      <c r="F21" s="107"/>
      <c r="G21" s="107"/>
      <c r="H21" s="108"/>
      <c r="I21" s="41"/>
      <c r="Q21" s="131"/>
      <c r="R21" s="131"/>
      <c r="S21" s="131"/>
      <c r="T21" s="131"/>
      <c r="U21" s="131"/>
      <c r="V21" s="13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</row>
    <row r="22" spans="1:270" ht="15.75" customHeight="1">
      <c r="A22" s="109" t="s">
        <v>29</v>
      </c>
      <c r="B22" s="107"/>
      <c r="C22" s="107"/>
      <c r="D22" s="107"/>
      <c r="E22" s="107"/>
      <c r="F22" s="107"/>
      <c r="G22" s="107"/>
      <c r="H22" s="108"/>
      <c r="I22" s="4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</row>
    <row r="23" spans="1:270" ht="15.75" customHeight="1">
      <c r="A23" s="7" t="s">
        <v>6</v>
      </c>
      <c r="B23" s="7" t="s">
        <v>7</v>
      </c>
      <c r="C23" s="7" t="s">
        <v>8</v>
      </c>
      <c r="D23" s="7" t="s">
        <v>9</v>
      </c>
      <c r="E23" s="7" t="s">
        <v>10</v>
      </c>
      <c r="F23" s="7" t="s">
        <v>11</v>
      </c>
      <c r="G23" s="7" t="s">
        <v>12</v>
      </c>
      <c r="H23" s="7" t="s">
        <v>13</v>
      </c>
      <c r="I23" s="42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</row>
    <row r="24" spans="1:270" ht="15.75" customHeight="1">
      <c r="A24" s="8">
        <v>1</v>
      </c>
      <c r="B24" s="19" t="s">
        <v>30</v>
      </c>
      <c r="C24" s="20" t="s">
        <v>31</v>
      </c>
      <c r="D24" s="19" t="s">
        <v>19</v>
      </c>
      <c r="E24" s="19">
        <v>3</v>
      </c>
      <c r="F24" s="8"/>
      <c r="G24" s="12"/>
      <c r="H24" s="8"/>
      <c r="I24" s="26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  <c r="IM24" s="44"/>
      <c r="IN24" s="44"/>
      <c r="IO24" s="44"/>
      <c r="IP24" s="44"/>
      <c r="IQ24" s="44"/>
      <c r="IR24" s="44"/>
      <c r="IS24" s="44"/>
      <c r="IT24" s="44"/>
      <c r="IU24" s="44"/>
      <c r="IV24" s="44"/>
      <c r="IW24" s="44"/>
      <c r="IX24" s="44"/>
      <c r="IY24" s="44"/>
      <c r="IZ24" s="44"/>
      <c r="JA24" s="44"/>
      <c r="JB24" s="44"/>
      <c r="JC24" s="44"/>
      <c r="JD24" s="44"/>
      <c r="JE24" s="44"/>
      <c r="JF24" s="44"/>
      <c r="JG24" s="44"/>
      <c r="JH24" s="44"/>
      <c r="JI24" s="44"/>
      <c r="JJ24" s="44"/>
    </row>
    <row r="25" spans="1:270" ht="15.75" customHeight="1">
      <c r="A25" s="8">
        <v>2</v>
      </c>
      <c r="B25" s="8" t="s">
        <v>32</v>
      </c>
      <c r="C25" s="9" t="s">
        <v>33</v>
      </c>
      <c r="D25" s="8" t="s">
        <v>16</v>
      </c>
      <c r="E25" s="8">
        <v>3</v>
      </c>
      <c r="F25" s="8"/>
      <c r="G25" s="12" t="s">
        <v>34</v>
      </c>
      <c r="H25" s="8"/>
      <c r="I25" s="26"/>
      <c r="Q25" s="26"/>
      <c r="R25" s="26"/>
      <c r="S25" s="46"/>
      <c r="T25" s="27"/>
      <c r="U25" s="26"/>
      <c r="V25" s="26"/>
      <c r="W25" s="26"/>
      <c r="X25" s="38"/>
      <c r="Y25" s="26"/>
      <c r="Z25" s="26"/>
      <c r="AA25" s="46"/>
      <c r="AB25" s="27"/>
      <c r="AC25" s="26"/>
      <c r="AD25" s="26"/>
      <c r="AE25" s="26"/>
      <c r="AF25" s="38"/>
      <c r="AG25" s="26"/>
      <c r="AH25" s="26"/>
      <c r="AI25" s="46"/>
      <c r="AJ25" s="27"/>
      <c r="AK25" s="26"/>
      <c r="AL25" s="26"/>
      <c r="AM25" s="26"/>
      <c r="AN25" s="38"/>
      <c r="AO25" s="26"/>
      <c r="AP25" s="26"/>
      <c r="AQ25" s="46"/>
      <c r="AR25" s="27"/>
      <c r="AS25" s="26"/>
      <c r="AT25" s="26"/>
      <c r="AU25" s="26"/>
      <c r="AV25" s="38"/>
      <c r="AW25" s="26"/>
      <c r="AX25" s="26"/>
      <c r="AY25" s="46"/>
      <c r="AZ25" s="27"/>
      <c r="BA25" s="26"/>
      <c r="BB25" s="26"/>
      <c r="BC25" s="26"/>
      <c r="BD25" s="38"/>
      <c r="BE25" s="26"/>
      <c r="BF25" s="26"/>
      <c r="BG25" s="46"/>
      <c r="BH25" s="27"/>
      <c r="BI25" s="26"/>
      <c r="BJ25" s="26"/>
      <c r="BK25" s="26"/>
      <c r="BL25" s="38"/>
      <c r="BM25" s="26"/>
      <c r="BN25" s="26"/>
      <c r="BO25" s="46"/>
      <c r="BP25" s="27"/>
      <c r="BQ25" s="26"/>
      <c r="BR25" s="26"/>
      <c r="BS25" s="26"/>
      <c r="BT25" s="38"/>
      <c r="BU25" s="26"/>
      <c r="BV25" s="26"/>
      <c r="BW25" s="46"/>
      <c r="BX25" s="27"/>
      <c r="BY25" s="26"/>
      <c r="BZ25" s="26"/>
      <c r="CA25" s="26"/>
      <c r="CB25" s="38"/>
      <c r="CC25" s="26"/>
      <c r="CD25" s="26"/>
      <c r="CE25" s="46"/>
      <c r="CF25" s="27"/>
      <c r="CG25" s="26"/>
      <c r="CH25" s="26"/>
      <c r="CI25" s="26"/>
      <c r="CJ25" s="38"/>
      <c r="CK25" s="26"/>
      <c r="CL25" s="26"/>
      <c r="CM25" s="46"/>
      <c r="CN25" s="27"/>
      <c r="CO25" s="26"/>
      <c r="CP25" s="26"/>
      <c r="CQ25" s="26"/>
      <c r="CR25" s="38"/>
      <c r="CS25" s="26"/>
      <c r="CT25" s="26"/>
      <c r="CU25" s="46"/>
      <c r="CV25" s="27"/>
      <c r="CW25" s="26"/>
      <c r="CX25" s="26"/>
      <c r="CY25" s="26"/>
      <c r="CZ25" s="38"/>
      <c r="DA25" s="26"/>
      <c r="DB25" s="26"/>
      <c r="DC25" s="46"/>
      <c r="DD25" s="27"/>
      <c r="DE25" s="26"/>
      <c r="DF25" s="26"/>
      <c r="DG25" s="26"/>
      <c r="DH25" s="38"/>
      <c r="DI25" s="26"/>
      <c r="DJ25" s="26"/>
      <c r="DK25" s="46"/>
      <c r="DL25" s="27"/>
      <c r="DM25" s="26"/>
      <c r="DN25" s="26"/>
      <c r="DO25" s="26"/>
      <c r="DP25" s="38"/>
      <c r="DQ25" s="26"/>
      <c r="DR25" s="26"/>
      <c r="DS25" s="46"/>
      <c r="DT25" s="27"/>
      <c r="DU25" s="26"/>
      <c r="DV25" s="26"/>
      <c r="DW25" s="26"/>
      <c r="DX25" s="38"/>
      <c r="DY25" s="26"/>
      <c r="DZ25" s="26"/>
      <c r="EA25" s="46"/>
      <c r="EB25" s="27"/>
      <c r="EC25" s="26"/>
      <c r="ED25" s="26"/>
      <c r="EE25" s="26"/>
      <c r="EF25" s="38"/>
      <c r="EG25" s="26"/>
      <c r="EH25" s="26"/>
      <c r="EI25" s="46"/>
      <c r="EJ25" s="27"/>
      <c r="EK25" s="26"/>
      <c r="EL25" s="26"/>
      <c r="EM25" s="26"/>
      <c r="EN25" s="38"/>
      <c r="EO25" s="26"/>
      <c r="EP25" s="26"/>
      <c r="EQ25" s="46"/>
      <c r="ER25" s="27"/>
      <c r="ES25" s="26"/>
      <c r="ET25" s="26"/>
      <c r="EU25" s="26"/>
      <c r="EV25" s="38"/>
      <c r="EW25" s="26"/>
      <c r="EX25" s="26"/>
      <c r="EY25" s="46"/>
      <c r="EZ25" s="27"/>
      <c r="FA25" s="26"/>
      <c r="FB25" s="26"/>
      <c r="FC25" s="26"/>
      <c r="FD25" s="38"/>
      <c r="FE25" s="26"/>
      <c r="FF25" s="26"/>
      <c r="FG25" s="46"/>
      <c r="FH25" s="27"/>
      <c r="FI25" s="26"/>
      <c r="FJ25" s="26"/>
      <c r="FK25" s="26"/>
      <c r="FL25" s="38"/>
      <c r="FM25" s="26"/>
      <c r="FN25" s="26"/>
      <c r="FO25" s="46"/>
      <c r="FP25" s="27"/>
      <c r="FQ25" s="26"/>
      <c r="FR25" s="26"/>
      <c r="FS25" s="26"/>
      <c r="FT25" s="38"/>
      <c r="FU25" s="26"/>
      <c r="FV25" s="26"/>
      <c r="FW25" s="46"/>
      <c r="FX25" s="27"/>
      <c r="FY25" s="26"/>
      <c r="FZ25" s="26"/>
      <c r="GA25" s="26"/>
      <c r="GB25" s="38"/>
      <c r="GC25" s="26"/>
      <c r="GD25" s="26"/>
      <c r="GE25" s="46"/>
      <c r="GF25" s="27"/>
      <c r="GG25" s="26"/>
      <c r="GH25" s="26"/>
      <c r="GI25" s="26"/>
      <c r="GJ25" s="38"/>
      <c r="GK25" s="26"/>
      <c r="GL25" s="26"/>
      <c r="GM25" s="46"/>
      <c r="GN25" s="27"/>
      <c r="GO25" s="26"/>
      <c r="GP25" s="26"/>
      <c r="GQ25" s="26"/>
      <c r="GR25" s="38"/>
      <c r="GS25" s="26"/>
      <c r="GT25" s="26"/>
      <c r="GU25" s="46"/>
      <c r="GV25" s="27"/>
      <c r="GW25" s="26"/>
      <c r="GX25" s="26"/>
      <c r="GY25" s="26"/>
      <c r="GZ25" s="38"/>
      <c r="HA25" s="26"/>
      <c r="HB25" s="26"/>
      <c r="HC25" s="46"/>
      <c r="HD25" s="27"/>
      <c r="HE25" s="26"/>
      <c r="HF25" s="26"/>
      <c r="HG25" s="26"/>
      <c r="HH25" s="38"/>
      <c r="HI25" s="26"/>
      <c r="HJ25" s="26"/>
      <c r="HK25" s="46"/>
      <c r="HL25" s="27"/>
      <c r="HM25" s="26"/>
      <c r="HN25" s="26"/>
      <c r="HO25" s="26"/>
      <c r="HP25" s="38"/>
      <c r="HQ25" s="26"/>
      <c r="HR25" s="26"/>
      <c r="HS25" s="46"/>
      <c r="HT25" s="27"/>
      <c r="HU25" s="26"/>
      <c r="HV25" s="26"/>
      <c r="HW25" s="26"/>
      <c r="HX25" s="38"/>
      <c r="HY25" s="26"/>
      <c r="HZ25" s="26"/>
      <c r="IA25" s="46"/>
      <c r="IB25" s="27"/>
      <c r="IC25" s="26"/>
      <c r="ID25" s="26"/>
      <c r="IE25" s="26"/>
      <c r="IF25" s="38"/>
      <c r="IG25" s="26"/>
      <c r="IH25" s="26"/>
      <c r="II25" s="46"/>
      <c r="IJ25" s="27"/>
      <c r="IK25" s="26"/>
      <c r="IL25" s="26"/>
      <c r="IM25" s="26"/>
      <c r="IN25" s="38"/>
      <c r="IO25" s="26"/>
      <c r="IP25" s="26"/>
      <c r="IQ25" s="46"/>
      <c r="IR25" s="27"/>
      <c r="IS25" s="26"/>
      <c r="IT25" s="26"/>
      <c r="IU25" s="26"/>
      <c r="IV25" s="38"/>
      <c r="IW25" s="26"/>
      <c r="IX25" s="26"/>
      <c r="IY25" s="46"/>
      <c r="IZ25" s="27"/>
      <c r="JA25" s="26"/>
      <c r="JB25" s="26"/>
      <c r="JC25" s="26"/>
      <c r="JD25" s="38"/>
      <c r="JE25" s="26"/>
      <c r="JF25" s="26"/>
      <c r="JG25" s="46"/>
      <c r="JH25" s="27"/>
      <c r="JI25" s="26"/>
      <c r="JJ25" s="26"/>
    </row>
    <row r="26" spans="1:270" ht="15.75" customHeight="1">
      <c r="A26" s="8">
        <v>3</v>
      </c>
      <c r="B26" s="8" t="s">
        <v>35</v>
      </c>
      <c r="C26" s="9" t="s">
        <v>36</v>
      </c>
      <c r="D26" s="8" t="s">
        <v>19</v>
      </c>
      <c r="E26" s="128">
        <v>3</v>
      </c>
      <c r="F26" s="8"/>
      <c r="G26" s="12" t="s">
        <v>37</v>
      </c>
      <c r="H26" s="8"/>
      <c r="I26" s="26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  <c r="CT26" s="44"/>
      <c r="CU26" s="44"/>
      <c r="CV26" s="44"/>
      <c r="CW26" s="44"/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/>
      <c r="DN26" s="44"/>
      <c r="DO26" s="44"/>
      <c r="DP26" s="44"/>
      <c r="DQ26" s="44"/>
      <c r="DR26" s="44"/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/>
      <c r="EG26" s="44"/>
      <c r="EH26" s="44"/>
      <c r="EI26" s="44"/>
      <c r="EJ26" s="44"/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/>
      <c r="FJ26" s="44"/>
      <c r="FK26" s="44"/>
      <c r="FL26" s="44"/>
      <c r="FM26" s="44"/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/>
      <c r="GK26" s="44"/>
      <c r="GL26" s="44"/>
      <c r="GM26" s="44"/>
      <c r="GN26" s="44"/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/>
      <c r="HZ26" s="44"/>
      <c r="IA26" s="44"/>
      <c r="IB26" s="44"/>
      <c r="IC26" s="44"/>
      <c r="ID26" s="44"/>
      <c r="IE26" s="44"/>
      <c r="IF26" s="44"/>
      <c r="IG26" s="44"/>
      <c r="IH26" s="44"/>
      <c r="II26" s="44"/>
      <c r="IJ26" s="44"/>
      <c r="IK26" s="44"/>
      <c r="IL26" s="44"/>
      <c r="IM26" s="44"/>
      <c r="IN26" s="44"/>
      <c r="IO26" s="44"/>
      <c r="IP26" s="44"/>
      <c r="IQ26" s="44"/>
      <c r="IR26" s="44"/>
      <c r="IS26" s="44"/>
      <c r="IT26" s="44"/>
      <c r="IU26" s="44"/>
      <c r="IV26" s="44"/>
      <c r="IW26" s="44"/>
      <c r="IX26" s="44"/>
      <c r="IY26" s="44"/>
      <c r="IZ26" s="44"/>
      <c r="JA26" s="44"/>
      <c r="JB26" s="44"/>
      <c r="JC26" s="44"/>
      <c r="JD26" s="44"/>
      <c r="JE26" s="44"/>
      <c r="JF26" s="44"/>
      <c r="JG26" s="44"/>
      <c r="JH26" s="44"/>
      <c r="JI26" s="44"/>
      <c r="JJ26" s="44"/>
    </row>
    <row r="27" spans="1:270" ht="15.75" customHeight="1">
      <c r="A27" s="8">
        <v>4</v>
      </c>
      <c r="B27" s="8" t="s">
        <v>38</v>
      </c>
      <c r="C27" s="9" t="s">
        <v>39</v>
      </c>
      <c r="D27" s="8" t="s">
        <v>19</v>
      </c>
      <c r="E27" s="130"/>
      <c r="F27" s="8"/>
      <c r="G27" s="12" t="s">
        <v>40</v>
      </c>
      <c r="H27" s="8"/>
      <c r="I27" s="26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</row>
    <row r="28" spans="1:270" ht="15.75" customHeight="1">
      <c r="A28" s="8">
        <v>5</v>
      </c>
      <c r="B28" s="8" t="s">
        <v>41</v>
      </c>
      <c r="C28" s="9" t="s">
        <v>42</v>
      </c>
      <c r="D28" s="21" t="s">
        <v>43</v>
      </c>
      <c r="E28" s="21">
        <v>2</v>
      </c>
      <c r="F28" s="21"/>
      <c r="G28" s="31" t="s">
        <v>44</v>
      </c>
      <c r="H28" s="21"/>
      <c r="I28" s="26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</row>
    <row r="29" spans="1:270" ht="15.75" customHeight="1">
      <c r="A29" s="8">
        <v>6</v>
      </c>
      <c r="B29" s="8" t="s">
        <v>45</v>
      </c>
      <c r="C29" s="9" t="s">
        <v>46</v>
      </c>
      <c r="D29" s="8" t="s">
        <v>43</v>
      </c>
      <c r="E29" s="21">
        <v>2</v>
      </c>
      <c r="F29" s="21"/>
      <c r="G29" s="31" t="s">
        <v>47</v>
      </c>
      <c r="H29" s="21"/>
      <c r="I29" s="2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  <c r="BT29" s="44"/>
      <c r="BU29" s="44"/>
      <c r="BV29" s="44"/>
      <c r="BW29" s="44"/>
      <c r="BX29" s="44"/>
      <c r="BY29" s="44"/>
      <c r="BZ29" s="44"/>
      <c r="CA29" s="44"/>
      <c r="CB29" s="44"/>
      <c r="CC29" s="44"/>
      <c r="CD29" s="44"/>
      <c r="CE29" s="44"/>
      <c r="CF29" s="44"/>
      <c r="CG29" s="44"/>
      <c r="CH29" s="44"/>
      <c r="CI29" s="44"/>
      <c r="CJ29" s="44"/>
      <c r="CK29" s="44"/>
      <c r="CL29" s="44"/>
      <c r="CM29" s="44"/>
      <c r="CN29" s="44"/>
      <c r="CO29" s="44"/>
      <c r="CP29" s="44"/>
      <c r="CQ29" s="44"/>
      <c r="CR29" s="44"/>
      <c r="CS29" s="44"/>
      <c r="CT29" s="44"/>
      <c r="CU29" s="44"/>
      <c r="CV29" s="44"/>
      <c r="CW29" s="44"/>
      <c r="CX29" s="44"/>
      <c r="CY29" s="44"/>
      <c r="CZ29" s="44"/>
      <c r="DA29" s="44"/>
      <c r="DB29" s="44"/>
      <c r="DC29" s="44"/>
      <c r="DD29" s="44"/>
      <c r="DE29" s="44"/>
      <c r="DF29" s="44"/>
      <c r="DG29" s="44"/>
      <c r="DH29" s="44"/>
      <c r="DI29" s="44"/>
      <c r="DJ29" s="44"/>
      <c r="DK29" s="44"/>
      <c r="DL29" s="44"/>
      <c r="DM29" s="44"/>
      <c r="DN29" s="44"/>
      <c r="DO29" s="44"/>
      <c r="DP29" s="44"/>
      <c r="DQ29" s="44"/>
      <c r="DR29" s="44"/>
      <c r="DS29" s="44"/>
      <c r="DT29" s="44"/>
      <c r="DU29" s="44"/>
      <c r="DV29" s="44"/>
      <c r="DW29" s="44"/>
      <c r="DX29" s="44"/>
      <c r="DY29" s="44"/>
      <c r="DZ29" s="44"/>
      <c r="EA29" s="44"/>
      <c r="EB29" s="44"/>
      <c r="EC29" s="44"/>
      <c r="ED29" s="44"/>
      <c r="EE29" s="44"/>
      <c r="EF29" s="44"/>
      <c r="EG29" s="44"/>
      <c r="EH29" s="44"/>
      <c r="EI29" s="44"/>
      <c r="EJ29" s="44"/>
      <c r="EK29" s="44"/>
      <c r="EL29" s="44"/>
      <c r="EM29" s="44"/>
      <c r="EN29" s="44"/>
      <c r="EO29" s="44"/>
      <c r="EP29" s="44"/>
      <c r="EQ29" s="44"/>
      <c r="ER29" s="44"/>
      <c r="ES29" s="44"/>
      <c r="ET29" s="44"/>
      <c r="EU29" s="44"/>
      <c r="EV29" s="44"/>
      <c r="EW29" s="44"/>
      <c r="EX29" s="44"/>
      <c r="EY29" s="44"/>
      <c r="EZ29" s="44"/>
      <c r="FA29" s="44"/>
      <c r="FB29" s="44"/>
      <c r="FC29" s="44"/>
      <c r="FD29" s="44"/>
      <c r="FE29" s="44"/>
      <c r="FF29" s="44"/>
      <c r="FG29" s="44"/>
      <c r="FH29" s="44"/>
      <c r="FI29" s="44"/>
      <c r="FJ29" s="44"/>
      <c r="FK29" s="44"/>
      <c r="FL29" s="44"/>
      <c r="FM29" s="44"/>
      <c r="FN29" s="44"/>
      <c r="FO29" s="44"/>
      <c r="FP29" s="44"/>
      <c r="FQ29" s="44"/>
      <c r="FR29" s="44"/>
      <c r="FS29" s="44"/>
      <c r="FT29" s="44"/>
      <c r="FU29" s="44"/>
      <c r="FV29" s="44"/>
      <c r="FW29" s="44"/>
      <c r="FX29" s="44"/>
      <c r="FY29" s="44"/>
      <c r="FZ29" s="44"/>
      <c r="GA29" s="44"/>
      <c r="GB29" s="44"/>
      <c r="GC29" s="44"/>
      <c r="GD29" s="44"/>
      <c r="GE29" s="44"/>
      <c r="GF29" s="44"/>
      <c r="GG29" s="44"/>
      <c r="GH29" s="44"/>
      <c r="GI29" s="44"/>
      <c r="GJ29" s="44"/>
      <c r="GK29" s="44"/>
      <c r="GL29" s="44"/>
      <c r="GM29" s="44"/>
      <c r="GN29" s="44"/>
      <c r="GO29" s="44"/>
      <c r="GP29" s="44"/>
      <c r="GQ29" s="44"/>
      <c r="GR29" s="44"/>
      <c r="GS29" s="44"/>
      <c r="GT29" s="44"/>
      <c r="GU29" s="44"/>
      <c r="GV29" s="44"/>
      <c r="GW29" s="44"/>
      <c r="GX29" s="44"/>
      <c r="GY29" s="44"/>
      <c r="GZ29" s="44"/>
      <c r="HA29" s="44"/>
      <c r="HB29" s="44"/>
      <c r="HC29" s="44"/>
      <c r="HD29" s="44"/>
      <c r="HE29" s="44"/>
      <c r="HF29" s="44"/>
      <c r="HG29" s="44"/>
      <c r="HH29" s="44"/>
      <c r="HI29" s="44"/>
      <c r="HJ29" s="44"/>
      <c r="HK29" s="44"/>
      <c r="HL29" s="44"/>
      <c r="HM29" s="44"/>
      <c r="HN29" s="44"/>
      <c r="HO29" s="44"/>
      <c r="HP29" s="44"/>
      <c r="HQ29" s="44"/>
      <c r="HR29" s="44"/>
      <c r="HS29" s="44"/>
      <c r="HT29" s="44"/>
      <c r="HU29" s="44"/>
      <c r="HV29" s="44"/>
      <c r="HW29" s="44"/>
      <c r="HX29" s="44"/>
      <c r="HY29" s="44"/>
      <c r="HZ29" s="44"/>
      <c r="IA29" s="44"/>
      <c r="IB29" s="44"/>
      <c r="IC29" s="44"/>
      <c r="ID29" s="44"/>
      <c r="IE29" s="44"/>
      <c r="IF29" s="44"/>
      <c r="IG29" s="44"/>
      <c r="IH29" s="44"/>
      <c r="II29" s="44"/>
      <c r="IJ29" s="44"/>
      <c r="IK29" s="44"/>
      <c r="IL29" s="44"/>
      <c r="IM29" s="44"/>
      <c r="IN29" s="44"/>
      <c r="IO29" s="44"/>
      <c r="IP29" s="44"/>
      <c r="IQ29" s="44"/>
      <c r="IR29" s="44"/>
      <c r="IS29" s="44"/>
      <c r="IT29" s="44"/>
      <c r="IU29" s="44"/>
      <c r="IV29" s="44"/>
      <c r="IW29" s="44"/>
      <c r="IX29" s="44"/>
      <c r="IY29" s="44"/>
      <c r="IZ29" s="44"/>
      <c r="JA29" s="44"/>
      <c r="JB29" s="44"/>
      <c r="JC29" s="44"/>
      <c r="JD29" s="44"/>
      <c r="JE29" s="44"/>
      <c r="JF29" s="44"/>
      <c r="JG29" s="44"/>
      <c r="JH29" s="44"/>
      <c r="JI29" s="44"/>
      <c r="JJ29" s="44"/>
    </row>
    <row r="30" spans="1:270" ht="15.75" customHeight="1">
      <c r="A30" s="8">
        <v>7</v>
      </c>
      <c r="B30" s="8" t="s">
        <v>48</v>
      </c>
      <c r="C30" s="9" t="s">
        <v>49</v>
      </c>
      <c r="D30" s="8" t="s">
        <v>43</v>
      </c>
      <c r="E30" s="21">
        <v>2</v>
      </c>
      <c r="F30" s="21"/>
      <c r="G30" s="31"/>
      <c r="H30" s="21"/>
      <c r="I30" s="2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/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  <c r="CT30" s="44"/>
      <c r="CU30" s="44"/>
      <c r="CV30" s="44"/>
      <c r="CW30" s="44"/>
      <c r="CX30" s="44"/>
      <c r="CY30" s="44"/>
      <c r="CZ30" s="44"/>
      <c r="DA30" s="44"/>
      <c r="DB30" s="44"/>
      <c r="DC30" s="44"/>
      <c r="DD30" s="44"/>
      <c r="DE30" s="44"/>
      <c r="DF30" s="44"/>
      <c r="DG30" s="44"/>
      <c r="DH30" s="44"/>
      <c r="DI30" s="44"/>
      <c r="DJ30" s="44"/>
      <c r="DK30" s="44"/>
      <c r="DL30" s="44"/>
      <c r="DM30" s="44"/>
      <c r="DN30" s="44"/>
      <c r="DO30" s="44"/>
      <c r="DP30" s="44"/>
      <c r="DQ30" s="44"/>
      <c r="DR30" s="44"/>
      <c r="DS30" s="44"/>
      <c r="DT30" s="44"/>
      <c r="DU30" s="44"/>
      <c r="DV30" s="44"/>
      <c r="DW30" s="44"/>
      <c r="DX30" s="44"/>
      <c r="DY30" s="44"/>
      <c r="DZ30" s="44"/>
      <c r="EA30" s="44"/>
      <c r="EB30" s="44"/>
      <c r="EC30" s="44"/>
      <c r="ED30" s="44"/>
      <c r="EE30" s="44"/>
      <c r="EF30" s="44"/>
      <c r="EG30" s="44"/>
      <c r="EH30" s="44"/>
      <c r="EI30" s="44"/>
      <c r="EJ30" s="44"/>
      <c r="EK30" s="44"/>
      <c r="EL30" s="44"/>
      <c r="EM30" s="44"/>
      <c r="EN30" s="44"/>
      <c r="EO30" s="44"/>
      <c r="EP30" s="44"/>
      <c r="EQ30" s="44"/>
      <c r="ER30" s="44"/>
      <c r="ES30" s="44"/>
      <c r="ET30" s="44"/>
      <c r="EU30" s="44"/>
      <c r="EV30" s="44"/>
      <c r="EW30" s="44"/>
      <c r="EX30" s="44"/>
      <c r="EY30" s="44"/>
      <c r="EZ30" s="44"/>
      <c r="FA30" s="44"/>
      <c r="FB30" s="44"/>
      <c r="FC30" s="44"/>
      <c r="FD30" s="44"/>
      <c r="FE30" s="44"/>
      <c r="FF30" s="44"/>
      <c r="FG30" s="44"/>
      <c r="FH30" s="44"/>
      <c r="FI30" s="44"/>
      <c r="FJ30" s="44"/>
      <c r="FK30" s="44"/>
      <c r="FL30" s="44"/>
      <c r="FM30" s="44"/>
      <c r="FN30" s="44"/>
      <c r="FO30" s="44"/>
      <c r="FP30" s="44"/>
      <c r="FQ30" s="44"/>
      <c r="FR30" s="44"/>
      <c r="FS30" s="44"/>
      <c r="FT30" s="44"/>
      <c r="FU30" s="44"/>
      <c r="FV30" s="44"/>
      <c r="FW30" s="44"/>
      <c r="FX30" s="44"/>
      <c r="FY30" s="44"/>
      <c r="FZ30" s="44"/>
      <c r="GA30" s="44"/>
      <c r="GB30" s="44"/>
      <c r="GC30" s="44"/>
      <c r="GD30" s="44"/>
      <c r="GE30" s="44"/>
      <c r="GF30" s="44"/>
      <c r="GG30" s="44"/>
      <c r="GH30" s="44"/>
      <c r="GI30" s="44"/>
      <c r="GJ30" s="44"/>
      <c r="GK30" s="44"/>
      <c r="GL30" s="44"/>
      <c r="GM30" s="44"/>
      <c r="GN30" s="44"/>
      <c r="GO30" s="44"/>
      <c r="GP30" s="44"/>
      <c r="GQ30" s="44"/>
      <c r="GR30" s="44"/>
      <c r="GS30" s="44"/>
      <c r="GT30" s="44"/>
      <c r="GU30" s="44"/>
      <c r="GV30" s="44"/>
      <c r="GW30" s="44"/>
      <c r="GX30" s="44"/>
      <c r="GY30" s="44"/>
      <c r="GZ30" s="44"/>
      <c r="HA30" s="44"/>
      <c r="HB30" s="44"/>
      <c r="HC30" s="44"/>
      <c r="HD30" s="44"/>
      <c r="HE30" s="44"/>
      <c r="HF30" s="44"/>
      <c r="HG30" s="44"/>
      <c r="HH30" s="44"/>
      <c r="HI30" s="44"/>
      <c r="HJ30" s="44"/>
      <c r="HK30" s="44"/>
      <c r="HL30" s="44"/>
      <c r="HM30" s="44"/>
      <c r="HN30" s="44"/>
      <c r="HO30" s="44"/>
      <c r="HP30" s="44"/>
      <c r="HQ30" s="44"/>
      <c r="HR30" s="44"/>
      <c r="HS30" s="44"/>
      <c r="HT30" s="44"/>
      <c r="HU30" s="44"/>
      <c r="HV30" s="44"/>
      <c r="HW30" s="44"/>
      <c r="HX30" s="44"/>
      <c r="HY30" s="44"/>
      <c r="HZ30" s="44"/>
      <c r="IA30" s="44"/>
      <c r="IB30" s="44"/>
      <c r="IC30" s="44"/>
      <c r="ID30" s="44"/>
      <c r="IE30" s="44"/>
      <c r="IF30" s="44"/>
      <c r="IG30" s="44"/>
      <c r="IH30" s="44"/>
      <c r="II30" s="44"/>
      <c r="IJ30" s="44"/>
      <c r="IK30" s="44"/>
      <c r="IL30" s="44"/>
      <c r="IM30" s="44"/>
      <c r="IN30" s="44"/>
      <c r="IO30" s="44"/>
      <c r="IP30" s="44"/>
      <c r="IQ30" s="44"/>
      <c r="IR30" s="44"/>
      <c r="IS30" s="44"/>
      <c r="IT30" s="44"/>
      <c r="IU30" s="44"/>
      <c r="IV30" s="44"/>
      <c r="IW30" s="44"/>
      <c r="IX30" s="44"/>
      <c r="IY30" s="44"/>
      <c r="IZ30" s="44"/>
      <c r="JA30" s="44"/>
      <c r="JB30" s="44"/>
      <c r="JC30" s="44"/>
      <c r="JD30" s="44"/>
      <c r="JE30" s="44"/>
      <c r="JF30" s="44"/>
      <c r="JG30" s="44"/>
      <c r="JH30" s="44"/>
      <c r="JI30" s="44"/>
      <c r="JJ30" s="44"/>
    </row>
    <row r="31" spans="1:270" ht="15.75" customHeight="1">
      <c r="A31" s="22"/>
      <c r="B31" s="23"/>
      <c r="C31" s="24" t="s">
        <v>27</v>
      </c>
      <c r="D31" s="25"/>
      <c r="E31" s="36">
        <f>SUM(E24:E30)</f>
        <v>15</v>
      </c>
      <c r="F31" s="36"/>
      <c r="G31" s="37"/>
      <c r="H31" s="36">
        <f>SUM(E31:F31)</f>
        <v>15</v>
      </c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</row>
    <row r="32" spans="1:270" ht="15.75" customHeight="1">
      <c r="A32" s="26"/>
      <c r="B32" s="26"/>
      <c r="C32" s="27"/>
      <c r="D32" s="26"/>
      <c r="E32" s="26"/>
      <c r="F32" s="26"/>
      <c r="G32" s="38"/>
      <c r="H32" s="39"/>
      <c r="I32" s="17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</row>
    <row r="33" spans="1:270" ht="17.25">
      <c r="A33" s="106" t="s">
        <v>50</v>
      </c>
      <c r="B33" s="107"/>
      <c r="C33" s="107"/>
      <c r="D33" s="107"/>
      <c r="E33" s="107"/>
      <c r="F33" s="107"/>
      <c r="G33" s="107"/>
      <c r="H33" s="108"/>
      <c r="I33" s="26"/>
      <c r="J33" s="1"/>
      <c r="K33" s="1"/>
      <c r="L33" s="1"/>
      <c r="M33" s="26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</row>
    <row r="34" spans="1:270" ht="15.75" customHeight="1">
      <c r="A34" s="106" t="s">
        <v>51</v>
      </c>
      <c r="B34" s="107"/>
      <c r="C34" s="107"/>
      <c r="D34" s="107"/>
      <c r="E34" s="107"/>
      <c r="F34" s="107"/>
      <c r="G34" s="107"/>
      <c r="H34" s="108"/>
      <c r="I34" s="4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</row>
    <row r="35" spans="1:270" ht="15.75" customHeight="1">
      <c r="A35" s="28" t="s">
        <v>6</v>
      </c>
      <c r="B35" s="28" t="s">
        <v>7</v>
      </c>
      <c r="C35" s="28" t="s">
        <v>8</v>
      </c>
      <c r="D35" s="28" t="s">
        <v>9</v>
      </c>
      <c r="E35" s="28" t="s">
        <v>10</v>
      </c>
      <c r="F35" s="28" t="s">
        <v>11</v>
      </c>
      <c r="G35" s="28" t="s">
        <v>12</v>
      </c>
      <c r="H35" s="28" t="s">
        <v>13</v>
      </c>
      <c r="I35" s="4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</row>
    <row r="36" spans="1:270" ht="15.75" customHeight="1">
      <c r="A36" s="29">
        <v>1</v>
      </c>
      <c r="B36" s="12" t="s">
        <v>52</v>
      </c>
      <c r="C36" s="30" t="s">
        <v>53</v>
      </c>
      <c r="D36" s="21" t="s">
        <v>54</v>
      </c>
      <c r="E36" s="21">
        <v>1</v>
      </c>
      <c r="F36" s="21"/>
      <c r="G36" s="31"/>
      <c r="H36" s="21"/>
      <c r="I36" s="47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</row>
    <row r="37" spans="1:270" ht="15.75" customHeight="1">
      <c r="A37" s="29">
        <v>2</v>
      </c>
      <c r="B37" s="12" t="s">
        <v>55</v>
      </c>
      <c r="C37" s="30" t="s">
        <v>56</v>
      </c>
      <c r="D37" s="21" t="s">
        <v>54</v>
      </c>
      <c r="E37" s="21">
        <v>1</v>
      </c>
      <c r="F37" s="21"/>
      <c r="G37" s="31"/>
      <c r="H37" s="21"/>
      <c r="I37" s="26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</row>
    <row r="38" spans="1:270" ht="15.75" customHeight="1">
      <c r="A38" s="29">
        <v>3</v>
      </c>
      <c r="B38" s="12" t="s">
        <v>57</v>
      </c>
      <c r="C38" s="30" t="s">
        <v>58</v>
      </c>
      <c r="D38" s="21" t="s">
        <v>54</v>
      </c>
      <c r="E38" s="21">
        <v>1</v>
      </c>
      <c r="F38" s="21"/>
      <c r="G38" s="31"/>
      <c r="H38" s="21"/>
      <c r="I38" s="26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</row>
    <row r="39" spans="1:270" ht="15.75" customHeight="1">
      <c r="A39" s="29">
        <v>4</v>
      </c>
      <c r="B39" s="21" t="s">
        <v>59</v>
      </c>
      <c r="C39" s="30" t="s">
        <v>60</v>
      </c>
      <c r="D39" s="21" t="s">
        <v>61</v>
      </c>
      <c r="E39" s="21">
        <v>2</v>
      </c>
      <c r="F39" s="21"/>
      <c r="G39" s="31"/>
      <c r="H39" s="21"/>
      <c r="I39" s="26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</row>
    <row r="40" spans="1:270" ht="15.75" customHeight="1">
      <c r="A40" s="29">
        <v>5</v>
      </c>
      <c r="B40" s="21" t="s">
        <v>62</v>
      </c>
      <c r="C40" s="30" t="s">
        <v>63</v>
      </c>
      <c r="D40" s="21" t="s">
        <v>61</v>
      </c>
      <c r="E40" s="21">
        <v>2</v>
      </c>
      <c r="F40" s="21"/>
      <c r="G40" s="31"/>
      <c r="H40" s="21"/>
      <c r="I40" s="26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</row>
    <row r="41" spans="1:270" ht="15.75" customHeight="1">
      <c r="A41" s="29">
        <v>6</v>
      </c>
      <c r="B41" s="21" t="s">
        <v>64</v>
      </c>
      <c r="C41" s="30" t="s">
        <v>65</v>
      </c>
      <c r="D41" s="21" t="s">
        <v>61</v>
      </c>
      <c r="E41" s="21">
        <v>2</v>
      </c>
      <c r="F41" s="21"/>
      <c r="G41" s="31"/>
      <c r="H41" s="21"/>
      <c r="I41" s="26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  <c r="HH41" s="44"/>
      <c r="HI41" s="44"/>
      <c r="HJ41" s="44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  <c r="IW41" s="44"/>
      <c r="IX41" s="44"/>
      <c r="IY41" s="44"/>
      <c r="IZ41" s="44"/>
      <c r="JA41" s="44"/>
      <c r="JB41" s="44"/>
      <c r="JC41" s="44"/>
      <c r="JD41" s="44"/>
      <c r="JE41" s="44"/>
      <c r="JF41" s="44"/>
      <c r="JG41" s="44"/>
      <c r="JH41" s="44"/>
      <c r="JI41" s="44"/>
      <c r="JJ41" s="44"/>
    </row>
    <row r="42" spans="1:270" ht="15.75" customHeight="1">
      <c r="A42" s="29">
        <v>7</v>
      </c>
      <c r="B42" s="21" t="s">
        <v>66</v>
      </c>
      <c r="C42" s="30" t="s">
        <v>67</v>
      </c>
      <c r="D42" s="21" t="s">
        <v>61</v>
      </c>
      <c r="E42" s="21">
        <v>2</v>
      </c>
      <c r="F42" s="21"/>
      <c r="G42" s="31"/>
      <c r="H42" s="21"/>
      <c r="I42" s="26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</row>
    <row r="43" spans="1:270" ht="15.75" customHeight="1">
      <c r="A43" s="22"/>
      <c r="B43" s="23"/>
      <c r="C43" s="24" t="s">
        <v>27</v>
      </c>
      <c r="D43" s="25"/>
      <c r="E43" s="36">
        <v>11</v>
      </c>
      <c r="F43" s="36"/>
      <c r="G43" s="31"/>
      <c r="H43" s="36">
        <f>SUM(E43:F43)</f>
        <v>11</v>
      </c>
      <c r="I43" s="26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</row>
    <row r="44" spans="1:270" ht="15.75" customHeight="1">
      <c r="A44" s="26"/>
      <c r="B44" s="26"/>
      <c r="C44" s="27"/>
      <c r="D44" s="26"/>
      <c r="E44" s="26"/>
      <c r="F44" s="26"/>
      <c r="G44" s="38"/>
      <c r="H44" s="39"/>
      <c r="I44" s="26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</row>
    <row r="45" spans="1:270" ht="15.75" customHeight="1">
      <c r="A45" s="106" t="s">
        <v>68</v>
      </c>
      <c r="B45" s="107"/>
      <c r="C45" s="107"/>
      <c r="D45" s="107"/>
      <c r="E45" s="107"/>
      <c r="F45" s="107"/>
      <c r="G45" s="107"/>
      <c r="H45" s="108"/>
      <c r="I45" s="26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</row>
    <row r="46" spans="1:270" ht="15.75" customHeight="1">
      <c r="A46" s="109" t="s">
        <v>69</v>
      </c>
      <c r="B46" s="107"/>
      <c r="C46" s="107"/>
      <c r="D46" s="107"/>
      <c r="E46" s="107"/>
      <c r="F46" s="107"/>
      <c r="G46" s="107"/>
      <c r="H46" s="108"/>
      <c r="I46" s="4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</row>
    <row r="47" spans="1:270" ht="15.75" customHeight="1">
      <c r="A47" s="7" t="s">
        <v>6</v>
      </c>
      <c r="B47" s="7" t="s">
        <v>7</v>
      </c>
      <c r="C47" s="7" t="s">
        <v>8</v>
      </c>
      <c r="D47" s="7" t="s">
        <v>9</v>
      </c>
      <c r="E47" s="7" t="s">
        <v>10</v>
      </c>
      <c r="F47" s="7" t="s">
        <v>11</v>
      </c>
      <c r="G47" s="7" t="s">
        <v>12</v>
      </c>
      <c r="H47" s="7" t="s">
        <v>13</v>
      </c>
      <c r="I47" s="4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</row>
    <row r="48" spans="1:270" ht="15.75" customHeight="1">
      <c r="A48" s="8">
        <v>1</v>
      </c>
      <c r="B48" s="8" t="s">
        <v>70</v>
      </c>
      <c r="C48" s="9" t="s">
        <v>71</v>
      </c>
      <c r="D48" s="8" t="s">
        <v>19</v>
      </c>
      <c r="E48" s="119">
        <v>3</v>
      </c>
      <c r="F48" s="21"/>
      <c r="G48" s="12" t="s">
        <v>72</v>
      </c>
      <c r="H48" s="8"/>
      <c r="I48" s="47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44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/>
      <c r="DM48" s="44"/>
      <c r="DN48" s="44"/>
      <c r="DO48" s="44"/>
      <c r="DP48" s="44"/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/>
      <c r="EL48" s="44"/>
      <c r="EM48" s="44"/>
      <c r="EN48" s="44"/>
      <c r="EO48" s="44"/>
      <c r="EP48" s="44"/>
      <c r="EQ48" s="44"/>
      <c r="ER48" s="44"/>
      <c r="ES48" s="44"/>
      <c r="ET48" s="44"/>
      <c r="EU48" s="44"/>
      <c r="EV48" s="44"/>
      <c r="EW48" s="44"/>
      <c r="EX48" s="44"/>
      <c r="EY48" s="44"/>
      <c r="EZ48" s="44"/>
      <c r="FA48" s="44"/>
      <c r="FB48" s="44"/>
      <c r="FC48" s="44"/>
      <c r="FD48" s="44"/>
      <c r="FE48" s="44"/>
      <c r="FF48" s="44"/>
      <c r="FG48" s="44"/>
      <c r="FH48" s="44"/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/>
      <c r="IJ48" s="44"/>
      <c r="IK48" s="44"/>
      <c r="IL48" s="44"/>
      <c r="IM48" s="44"/>
      <c r="IN48" s="44"/>
      <c r="IO48" s="44"/>
      <c r="IP48" s="44"/>
      <c r="IQ48" s="44"/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</row>
    <row r="49" spans="1:270" ht="15.75" customHeight="1">
      <c r="A49" s="8">
        <v>2</v>
      </c>
      <c r="B49" s="8" t="s">
        <v>73</v>
      </c>
      <c r="C49" s="9" t="s">
        <v>74</v>
      </c>
      <c r="D49" s="8" t="s">
        <v>19</v>
      </c>
      <c r="E49" s="120"/>
      <c r="F49" s="21"/>
      <c r="G49" s="8" t="s">
        <v>75</v>
      </c>
      <c r="H49" s="8"/>
      <c r="I49" s="26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/>
      <c r="DQ49" s="44"/>
      <c r="DR49" s="44"/>
      <c r="DS49" s="44"/>
      <c r="DT49" s="44"/>
      <c r="DU49" s="44"/>
      <c r="DV49" s="44"/>
      <c r="DW49" s="44"/>
      <c r="DX49" s="44"/>
      <c r="DY49" s="44"/>
      <c r="DZ49" s="44"/>
      <c r="EA49" s="44"/>
      <c r="EB49" s="44"/>
      <c r="EC49" s="44"/>
      <c r="ED49" s="44"/>
      <c r="EE49" s="44"/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/>
      <c r="ER49" s="44"/>
      <c r="ES49" s="44"/>
      <c r="ET49" s="44"/>
      <c r="EU49" s="44"/>
      <c r="EV49" s="44"/>
      <c r="EW49" s="44"/>
      <c r="EX49" s="44"/>
      <c r="EY49" s="44"/>
      <c r="EZ49" s="44"/>
      <c r="FA49" s="44"/>
      <c r="FB49" s="44"/>
      <c r="FC49" s="44"/>
      <c r="FD49" s="44"/>
      <c r="FE49" s="44"/>
      <c r="FF49" s="44"/>
      <c r="FG49" s="44"/>
      <c r="FH49" s="44"/>
      <c r="FI49" s="44"/>
      <c r="FJ49" s="44"/>
      <c r="FK49" s="44"/>
      <c r="FL49" s="44"/>
      <c r="FM49" s="44"/>
      <c r="FN49" s="44"/>
      <c r="FO49" s="44"/>
      <c r="FP49" s="44"/>
      <c r="FQ49" s="44"/>
      <c r="FR49" s="44"/>
      <c r="FS49" s="44"/>
      <c r="FT49" s="44"/>
      <c r="FU49" s="44"/>
      <c r="FV49" s="44"/>
      <c r="FW49" s="44"/>
      <c r="FX49" s="44"/>
      <c r="FY49" s="44"/>
      <c r="FZ49" s="44"/>
      <c r="GA49" s="44"/>
      <c r="GB49" s="44"/>
      <c r="GC49" s="44"/>
      <c r="GD49" s="44"/>
      <c r="GE49" s="44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4"/>
      <c r="HG49" s="44"/>
      <c r="HH49" s="44"/>
      <c r="HI49" s="44"/>
      <c r="HJ49" s="44"/>
      <c r="HK49" s="44"/>
      <c r="HL49" s="44"/>
      <c r="HM49" s="44"/>
      <c r="HN49" s="44"/>
      <c r="HO49" s="44"/>
      <c r="HP49" s="44"/>
      <c r="HQ49" s="44"/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/>
      <c r="IJ49" s="44"/>
      <c r="IK49" s="44"/>
      <c r="IL49" s="44"/>
      <c r="IM49" s="44"/>
      <c r="IN49" s="44"/>
      <c r="IO49" s="44"/>
      <c r="IP49" s="44"/>
      <c r="IQ49" s="44"/>
      <c r="IR49" s="44"/>
      <c r="IS49" s="44"/>
      <c r="IT49" s="44"/>
      <c r="IU49" s="44"/>
      <c r="IV49" s="44"/>
      <c r="IW49" s="44"/>
      <c r="IX49" s="44"/>
      <c r="IY49" s="44"/>
      <c r="IZ49" s="44"/>
      <c r="JA49" s="44"/>
      <c r="JB49" s="44"/>
      <c r="JC49" s="44"/>
      <c r="JD49" s="44"/>
      <c r="JE49" s="44"/>
      <c r="JF49" s="44"/>
      <c r="JG49" s="44"/>
      <c r="JH49" s="44"/>
      <c r="JI49" s="44"/>
      <c r="JJ49" s="44"/>
    </row>
    <row r="50" spans="1:270" ht="15.75" customHeight="1">
      <c r="A50" s="8">
        <v>3</v>
      </c>
      <c r="B50" s="8" t="s">
        <v>76</v>
      </c>
      <c r="C50" s="9" t="s">
        <v>77</v>
      </c>
      <c r="D50" s="21" t="s">
        <v>43</v>
      </c>
      <c r="E50" s="21">
        <v>2</v>
      </c>
      <c r="F50" s="21"/>
      <c r="G50" s="31"/>
      <c r="H50" s="21"/>
      <c r="I50" s="26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/>
      <c r="DM50" s="44"/>
      <c r="DN50" s="44"/>
      <c r="DO50" s="44"/>
      <c r="DP50" s="44"/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/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</row>
    <row r="51" spans="1:270" ht="15.75" customHeight="1">
      <c r="A51" s="8">
        <v>4</v>
      </c>
      <c r="B51" s="10" t="s">
        <v>78</v>
      </c>
      <c r="C51" s="9" t="s">
        <v>79</v>
      </c>
      <c r="D51" s="8" t="s">
        <v>43</v>
      </c>
      <c r="E51" s="8">
        <v>2</v>
      </c>
      <c r="F51" s="8"/>
      <c r="G51" s="12"/>
      <c r="H51" s="8"/>
      <c r="I51" s="26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/>
      <c r="FF51" s="44"/>
      <c r="FG51" s="44"/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</row>
    <row r="52" spans="1:270" ht="15.75" customHeight="1">
      <c r="A52" s="8">
        <v>5</v>
      </c>
      <c r="B52" s="8" t="s">
        <v>80</v>
      </c>
      <c r="C52" s="9" t="s">
        <v>81</v>
      </c>
      <c r="D52" s="21" t="s">
        <v>16</v>
      </c>
      <c r="E52" s="21">
        <v>3</v>
      </c>
      <c r="F52" s="21"/>
      <c r="G52" s="101" t="s">
        <v>82</v>
      </c>
      <c r="H52" s="21"/>
      <c r="I52" s="26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/>
      <c r="DM52" s="44"/>
      <c r="DN52" s="44"/>
      <c r="DO52" s="44"/>
      <c r="DP52" s="44"/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/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4"/>
      <c r="JH52" s="44"/>
      <c r="JI52" s="44"/>
      <c r="JJ52" s="44"/>
    </row>
    <row r="53" spans="1:270" ht="15.75" customHeight="1">
      <c r="A53" s="8">
        <v>6</v>
      </c>
      <c r="B53" s="8" t="s">
        <v>83</v>
      </c>
      <c r="C53" s="9" t="s">
        <v>84</v>
      </c>
      <c r="D53" s="21" t="s">
        <v>16</v>
      </c>
      <c r="E53" s="21">
        <v>3</v>
      </c>
      <c r="F53" s="21"/>
      <c r="G53" s="101" t="s">
        <v>82</v>
      </c>
      <c r="H53" s="21"/>
      <c r="I53" s="26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/>
      <c r="DM53" s="44"/>
      <c r="DN53" s="44"/>
      <c r="DO53" s="44"/>
      <c r="DP53" s="44"/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/>
      <c r="EV53" s="44"/>
      <c r="EW53" s="44"/>
      <c r="EX53" s="44"/>
      <c r="EY53" s="44"/>
      <c r="EZ53" s="44"/>
      <c r="FA53" s="44"/>
      <c r="FB53" s="44"/>
      <c r="FC53" s="44"/>
      <c r="FD53" s="44"/>
      <c r="FE53" s="44"/>
      <c r="FF53" s="44"/>
      <c r="FG53" s="44"/>
      <c r="FH53" s="44"/>
      <c r="FI53" s="44"/>
      <c r="FJ53" s="44"/>
      <c r="FK53" s="44"/>
      <c r="FL53" s="44"/>
      <c r="FM53" s="44"/>
      <c r="FN53" s="44"/>
      <c r="FO53" s="44"/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/>
      <c r="IB53" s="44"/>
      <c r="IC53" s="44"/>
      <c r="ID53" s="44"/>
      <c r="IE53" s="44"/>
      <c r="IF53" s="44"/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  <c r="IW53" s="44"/>
      <c r="IX53" s="44"/>
      <c r="IY53" s="44"/>
      <c r="IZ53" s="44"/>
      <c r="JA53" s="44"/>
      <c r="JB53" s="44"/>
      <c r="JC53" s="44"/>
      <c r="JD53" s="44"/>
      <c r="JE53" s="44"/>
      <c r="JF53" s="44"/>
      <c r="JG53" s="44"/>
      <c r="JH53" s="44"/>
      <c r="JI53" s="44"/>
      <c r="JJ53" s="44"/>
    </row>
    <row r="54" spans="1:270" ht="15.75" customHeight="1">
      <c r="A54" s="8">
        <v>7</v>
      </c>
      <c r="B54" s="8" t="s">
        <v>85</v>
      </c>
      <c r="C54" s="9" t="s">
        <v>86</v>
      </c>
      <c r="D54" s="21" t="s">
        <v>43</v>
      </c>
      <c r="E54" s="21">
        <v>2</v>
      </c>
      <c r="F54" s="21"/>
      <c r="G54" s="31" t="s">
        <v>87</v>
      </c>
      <c r="H54" s="21"/>
      <c r="I54" s="26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/>
      <c r="DM54" s="44"/>
      <c r="DN54" s="44"/>
      <c r="DO54" s="44"/>
      <c r="DP54" s="44"/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/>
      <c r="EX54" s="44"/>
      <c r="EY54" s="44"/>
      <c r="EZ54" s="44"/>
      <c r="FA54" s="44"/>
      <c r="FB54" s="44"/>
      <c r="FC54" s="44"/>
      <c r="FD54" s="44"/>
      <c r="FE54" s="44"/>
      <c r="FF54" s="44"/>
      <c r="FG54" s="44"/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/>
      <c r="HY54" s="44"/>
      <c r="HZ54" s="44"/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</row>
    <row r="55" spans="1:270" ht="15.75" customHeight="1">
      <c r="A55" s="22"/>
      <c r="B55" s="23"/>
      <c r="C55" s="24" t="s">
        <v>27</v>
      </c>
      <c r="D55" s="25"/>
      <c r="E55" s="36">
        <f>SUM(E48:E54)</f>
        <v>15</v>
      </c>
      <c r="F55" s="36"/>
      <c r="G55" s="37"/>
      <c r="H55" s="36">
        <f>SUM(E55:F55)</f>
        <v>15</v>
      </c>
      <c r="I55" s="2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</row>
    <row r="56" spans="1:270" ht="15.75" customHeight="1">
      <c r="A56" s="26"/>
      <c r="B56" s="26"/>
      <c r="C56" s="27"/>
      <c r="D56" s="26"/>
      <c r="E56" s="26"/>
      <c r="F56" s="26"/>
      <c r="G56" s="38"/>
      <c r="H56" s="39"/>
      <c r="I56" s="2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</row>
    <row r="57" spans="1:270" ht="17.25">
      <c r="A57" s="106" t="s">
        <v>88</v>
      </c>
      <c r="B57" s="107"/>
      <c r="C57" s="107"/>
      <c r="D57" s="107"/>
      <c r="E57" s="107"/>
      <c r="F57" s="107"/>
      <c r="G57" s="107"/>
      <c r="H57" s="108"/>
      <c r="I57" s="17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</row>
    <row r="58" spans="1:270" ht="15.75" customHeight="1">
      <c r="A58" s="109" t="s">
        <v>89</v>
      </c>
      <c r="B58" s="107"/>
      <c r="C58" s="107"/>
      <c r="D58" s="107"/>
      <c r="E58" s="107"/>
      <c r="F58" s="107"/>
      <c r="G58" s="107"/>
      <c r="H58" s="108"/>
      <c r="I58" s="2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</row>
    <row r="59" spans="1:270" ht="15.75" customHeight="1">
      <c r="A59" s="7" t="s">
        <v>6</v>
      </c>
      <c r="B59" s="7" t="s">
        <v>7</v>
      </c>
      <c r="C59" s="7" t="s">
        <v>8</v>
      </c>
      <c r="D59" s="7" t="s">
        <v>9</v>
      </c>
      <c r="E59" s="7" t="s">
        <v>10</v>
      </c>
      <c r="F59" s="7" t="s">
        <v>11</v>
      </c>
      <c r="G59" s="7" t="s">
        <v>12</v>
      </c>
      <c r="H59" s="7" t="s">
        <v>13</v>
      </c>
      <c r="I59" s="4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</row>
    <row r="60" spans="1:270" ht="15.75" customHeight="1">
      <c r="A60" s="31">
        <v>1</v>
      </c>
      <c r="B60" s="31" t="s">
        <v>90</v>
      </c>
      <c r="C60" s="9" t="s">
        <v>91</v>
      </c>
      <c r="D60" s="31" t="s">
        <v>43</v>
      </c>
      <c r="E60" s="31">
        <v>2</v>
      </c>
      <c r="F60" s="30"/>
      <c r="G60" s="30"/>
      <c r="H60" s="30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/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44"/>
      <c r="CE60" s="44"/>
      <c r="CF60" s="44"/>
      <c r="CG60" s="44"/>
      <c r="CH60" s="44"/>
      <c r="CI60" s="44"/>
      <c r="CJ60" s="44"/>
      <c r="CK60" s="44"/>
      <c r="CL60" s="44"/>
      <c r="CM60" s="44"/>
      <c r="CN60" s="44"/>
      <c r="CO60" s="44"/>
      <c r="CP60" s="44"/>
      <c r="CQ60" s="44"/>
      <c r="CR60" s="44"/>
      <c r="CS60" s="44"/>
      <c r="CT60" s="44"/>
      <c r="CU60" s="44"/>
      <c r="CV60" s="44"/>
      <c r="CW60" s="44"/>
      <c r="CX60" s="44"/>
      <c r="CY60" s="44"/>
      <c r="CZ60" s="44"/>
      <c r="DA60" s="44"/>
      <c r="DB60" s="44"/>
      <c r="DC60" s="44"/>
      <c r="DD60" s="44"/>
      <c r="DE60" s="44"/>
      <c r="DF60" s="44"/>
      <c r="DG60" s="44"/>
      <c r="DH60" s="44"/>
      <c r="DI60" s="44"/>
      <c r="DJ60" s="44"/>
      <c r="DK60" s="44"/>
      <c r="DL60" s="44"/>
      <c r="DM60" s="44"/>
      <c r="DN60" s="44"/>
      <c r="DO60" s="44"/>
      <c r="DP60" s="44"/>
      <c r="DQ60" s="44"/>
      <c r="DR60" s="44"/>
      <c r="DS60" s="44"/>
      <c r="DT60" s="44"/>
      <c r="DU60" s="44"/>
      <c r="DV60" s="44"/>
      <c r="DW60" s="44"/>
      <c r="DX60" s="44"/>
      <c r="DY60" s="44"/>
      <c r="DZ60" s="44"/>
      <c r="EA60" s="44"/>
      <c r="EB60" s="44"/>
      <c r="EC60" s="44"/>
      <c r="ED60" s="44"/>
      <c r="EE60" s="44"/>
      <c r="EF60" s="44"/>
      <c r="EG60" s="44"/>
      <c r="EH60" s="44"/>
      <c r="EI60" s="44"/>
      <c r="EJ60" s="44"/>
      <c r="EK60" s="44"/>
      <c r="EL60" s="44"/>
      <c r="EM60" s="44"/>
      <c r="EN60" s="44"/>
      <c r="EO60" s="44"/>
      <c r="EP60" s="44"/>
      <c r="EQ60" s="44"/>
      <c r="ER60" s="44"/>
      <c r="ES60" s="44"/>
      <c r="ET60" s="44"/>
      <c r="EU60" s="44"/>
      <c r="EV60" s="44"/>
      <c r="EW60" s="44"/>
      <c r="EX60" s="44"/>
      <c r="EY60" s="44"/>
      <c r="EZ60" s="44"/>
      <c r="FA60" s="44"/>
      <c r="FB60" s="44"/>
      <c r="FC60" s="44"/>
      <c r="FD60" s="44"/>
      <c r="FE60" s="44"/>
      <c r="FF60" s="44"/>
      <c r="FG60" s="44"/>
      <c r="FH60" s="44"/>
      <c r="FI60" s="44"/>
      <c r="FJ60" s="44"/>
      <c r="FK60" s="44"/>
      <c r="FL60" s="44"/>
      <c r="FM60" s="44"/>
      <c r="FN60" s="44"/>
      <c r="FO60" s="44"/>
      <c r="FP60" s="44"/>
      <c r="FQ60" s="44"/>
      <c r="FR60" s="44"/>
      <c r="FS60" s="44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/>
      <c r="HV60" s="44"/>
      <c r="HW60" s="44"/>
      <c r="HX60" s="44"/>
      <c r="HY60" s="44"/>
      <c r="HZ60" s="44"/>
      <c r="IA60" s="44"/>
      <c r="IB60" s="44"/>
      <c r="IC60" s="44"/>
      <c r="ID60" s="44"/>
      <c r="IE60" s="44"/>
      <c r="IF60" s="44"/>
      <c r="IG60" s="44"/>
      <c r="IH60" s="44"/>
      <c r="II60" s="44"/>
      <c r="IJ60" s="44"/>
      <c r="IK60" s="44"/>
      <c r="IL60" s="44"/>
      <c r="IM60" s="44"/>
      <c r="IN60" s="44"/>
      <c r="IO60" s="44"/>
      <c r="IP60" s="44"/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/>
      <c r="JE60" s="44"/>
      <c r="JF60" s="44"/>
      <c r="JG60" s="44"/>
      <c r="JH60" s="44"/>
      <c r="JI60" s="44"/>
      <c r="JJ60" s="44"/>
    </row>
    <row r="61" spans="1:270" ht="15.75" customHeight="1">
      <c r="A61" s="8">
        <v>2</v>
      </c>
      <c r="B61" s="8" t="s">
        <v>92</v>
      </c>
      <c r="C61" s="9" t="s">
        <v>93</v>
      </c>
      <c r="D61" s="21" t="s">
        <v>16</v>
      </c>
      <c r="E61" s="21">
        <v>3</v>
      </c>
      <c r="F61" s="21"/>
      <c r="G61" s="31"/>
      <c r="H61" s="21"/>
      <c r="I61" s="47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44"/>
      <c r="CE61" s="44"/>
      <c r="CF61" s="44"/>
      <c r="CG61" s="44"/>
      <c r="CH61" s="44"/>
      <c r="CI61" s="44"/>
      <c r="CJ61" s="44"/>
      <c r="CK61" s="44"/>
      <c r="CL61" s="44"/>
      <c r="CM61" s="44"/>
      <c r="CN61" s="44"/>
      <c r="CO61" s="44"/>
      <c r="CP61" s="44"/>
      <c r="CQ61" s="44"/>
      <c r="CR61" s="44"/>
      <c r="CS61" s="44"/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/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/>
      <c r="EF61" s="44"/>
      <c r="EG61" s="44"/>
      <c r="EH61" s="44"/>
      <c r="EI61" s="44"/>
      <c r="EJ61" s="44"/>
      <c r="EK61" s="44"/>
      <c r="EL61" s="44"/>
      <c r="EM61" s="44"/>
      <c r="EN61" s="44"/>
      <c r="EO61" s="44"/>
      <c r="EP61" s="44"/>
      <c r="EQ61" s="44"/>
      <c r="ER61" s="44"/>
      <c r="ES61" s="44"/>
      <c r="ET61" s="44"/>
      <c r="EU61" s="44"/>
      <c r="EV61" s="44"/>
      <c r="EW61" s="44"/>
      <c r="EX61" s="44"/>
      <c r="EY61" s="44"/>
      <c r="EZ61" s="44"/>
      <c r="FA61" s="44"/>
      <c r="FB61" s="44"/>
      <c r="FC61" s="44"/>
      <c r="FD61" s="44"/>
      <c r="FE61" s="44"/>
      <c r="FF61" s="44"/>
      <c r="FG61" s="44"/>
      <c r="FH61" s="44"/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/>
      <c r="FW61" s="44"/>
      <c r="FX61" s="44"/>
      <c r="FY61" s="44"/>
      <c r="FZ61" s="44"/>
      <c r="GA61" s="44"/>
      <c r="GB61" s="44"/>
      <c r="GC61" s="44"/>
      <c r="GD61" s="44"/>
      <c r="GE61" s="44"/>
      <c r="GF61" s="44"/>
      <c r="GG61" s="44"/>
      <c r="GH61" s="44"/>
      <c r="GI61" s="44"/>
      <c r="GJ61" s="44"/>
      <c r="GK61" s="44"/>
      <c r="GL61" s="44"/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/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/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</row>
    <row r="62" spans="1:270" ht="15.75" customHeight="1">
      <c r="A62" s="31">
        <v>3</v>
      </c>
      <c r="B62" s="12" t="s">
        <v>94</v>
      </c>
      <c r="C62" s="9" t="s">
        <v>95</v>
      </c>
      <c r="D62" s="12" t="s">
        <v>19</v>
      </c>
      <c r="E62" s="12">
        <v>3</v>
      </c>
      <c r="F62" s="40"/>
      <c r="G62" s="31"/>
      <c r="H62" s="21"/>
      <c r="I62" s="26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44"/>
      <c r="CE62" s="44"/>
      <c r="CF62" s="44"/>
      <c r="CG62" s="44"/>
      <c r="CH62" s="44"/>
      <c r="CI62" s="44"/>
      <c r="CJ62" s="44"/>
      <c r="CK62" s="44"/>
      <c r="CL62" s="44"/>
      <c r="CM62" s="44"/>
      <c r="CN62" s="44"/>
      <c r="CO62" s="44"/>
      <c r="CP62" s="44"/>
      <c r="CQ62" s="44"/>
      <c r="CR62" s="44"/>
      <c r="CS62" s="44"/>
      <c r="CT62" s="44"/>
      <c r="CU62" s="44"/>
      <c r="CV62" s="44"/>
      <c r="CW62" s="44"/>
      <c r="CX62" s="44"/>
      <c r="CY62" s="44"/>
      <c r="CZ62" s="44"/>
      <c r="DA62" s="44"/>
      <c r="DB62" s="44"/>
      <c r="DC62" s="44"/>
      <c r="DD62" s="44"/>
      <c r="DE62" s="44"/>
      <c r="DF62" s="44"/>
      <c r="DG62" s="44"/>
      <c r="DH62" s="44"/>
      <c r="DI62" s="44"/>
      <c r="DJ62" s="44"/>
      <c r="DK62" s="44"/>
      <c r="DL62" s="44"/>
      <c r="DM62" s="44"/>
      <c r="DN62" s="44"/>
      <c r="DO62" s="44"/>
      <c r="DP62" s="44"/>
      <c r="DQ62" s="44"/>
      <c r="DR62" s="44"/>
      <c r="DS62" s="44"/>
      <c r="DT62" s="44"/>
      <c r="DU62" s="44"/>
      <c r="DV62" s="44"/>
      <c r="DW62" s="44"/>
      <c r="DX62" s="44"/>
      <c r="DY62" s="44"/>
      <c r="DZ62" s="44"/>
      <c r="EA62" s="44"/>
      <c r="EB62" s="44"/>
      <c r="EC62" s="44"/>
      <c r="ED62" s="44"/>
      <c r="EE62" s="44"/>
      <c r="EF62" s="44"/>
      <c r="EG62" s="44"/>
      <c r="EH62" s="44"/>
      <c r="EI62" s="44"/>
      <c r="EJ62" s="44"/>
      <c r="EK62" s="44"/>
      <c r="EL62" s="44"/>
      <c r="EM62" s="44"/>
      <c r="EN62" s="44"/>
      <c r="EO62" s="44"/>
      <c r="EP62" s="44"/>
      <c r="EQ62" s="44"/>
      <c r="ER62" s="44"/>
      <c r="ES62" s="44"/>
      <c r="ET62" s="44"/>
      <c r="EU62" s="44"/>
      <c r="EV62" s="44"/>
      <c r="EW62" s="44"/>
      <c r="EX62" s="44"/>
      <c r="EY62" s="44"/>
      <c r="EZ62" s="44"/>
      <c r="FA62" s="44"/>
      <c r="FB62" s="44"/>
      <c r="FC62" s="44"/>
      <c r="FD62" s="44"/>
      <c r="FE62" s="44"/>
      <c r="FF62" s="44"/>
      <c r="FG62" s="44"/>
      <c r="FH62" s="44"/>
      <c r="FI62" s="44"/>
      <c r="FJ62" s="44"/>
      <c r="FK62" s="44"/>
      <c r="FL62" s="44"/>
      <c r="FM62" s="44"/>
      <c r="FN62" s="44"/>
      <c r="FO62" s="44"/>
      <c r="FP62" s="44"/>
      <c r="FQ62" s="44"/>
      <c r="FR62" s="44"/>
      <c r="FS62" s="44"/>
      <c r="FT62" s="44"/>
      <c r="FU62" s="44"/>
      <c r="FV62" s="44"/>
      <c r="FW62" s="44"/>
      <c r="FX62" s="44"/>
      <c r="FY62" s="44"/>
      <c r="FZ62" s="44"/>
      <c r="GA62" s="44"/>
      <c r="GB62" s="44"/>
      <c r="GC62" s="44"/>
      <c r="GD62" s="44"/>
      <c r="GE62" s="44"/>
      <c r="GF62" s="44"/>
      <c r="GG62" s="44"/>
      <c r="GH62" s="44"/>
      <c r="GI62" s="44"/>
      <c r="GJ62" s="44"/>
      <c r="GK62" s="44"/>
      <c r="GL62" s="44"/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/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/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  <c r="IW62" s="44"/>
      <c r="IX62" s="44"/>
      <c r="IY62" s="44"/>
      <c r="IZ62" s="44"/>
      <c r="JA62" s="44"/>
      <c r="JB62" s="44"/>
      <c r="JC62" s="44"/>
      <c r="JD62" s="44"/>
      <c r="JE62" s="44"/>
      <c r="JF62" s="44"/>
      <c r="JG62" s="44"/>
      <c r="JH62" s="44"/>
      <c r="JI62" s="44"/>
      <c r="JJ62" s="44"/>
    </row>
    <row r="63" spans="1:270" ht="15.75" customHeight="1">
      <c r="A63" s="8">
        <v>4</v>
      </c>
      <c r="B63" s="8" t="s">
        <v>96</v>
      </c>
      <c r="C63" s="9" t="s">
        <v>97</v>
      </c>
      <c r="D63" s="8" t="s">
        <v>16</v>
      </c>
      <c r="E63" s="8">
        <v>3</v>
      </c>
      <c r="F63" s="8"/>
      <c r="G63" s="12" t="s">
        <v>98</v>
      </c>
      <c r="H63" s="8"/>
      <c r="I63" s="26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44"/>
      <c r="CE63" s="44"/>
      <c r="CF63" s="44"/>
      <c r="CG63" s="44"/>
      <c r="CH63" s="44"/>
      <c r="CI63" s="44"/>
      <c r="CJ63" s="44"/>
      <c r="CK63" s="44"/>
      <c r="CL63" s="44"/>
      <c r="CM63" s="44"/>
      <c r="CN63" s="44"/>
      <c r="CO63" s="44"/>
      <c r="CP63" s="44"/>
      <c r="CQ63" s="44"/>
      <c r="CR63" s="44"/>
      <c r="CS63" s="44"/>
      <c r="CT63" s="44"/>
      <c r="CU63" s="44"/>
      <c r="CV63" s="44"/>
      <c r="CW63" s="44"/>
      <c r="CX63" s="44"/>
      <c r="CY63" s="44"/>
      <c r="CZ63" s="44"/>
      <c r="DA63" s="44"/>
      <c r="DB63" s="44"/>
      <c r="DC63" s="44"/>
      <c r="DD63" s="44"/>
      <c r="DE63" s="44"/>
      <c r="DF63" s="44"/>
      <c r="DG63" s="44"/>
      <c r="DH63" s="44"/>
      <c r="DI63" s="44"/>
      <c r="DJ63" s="44"/>
      <c r="DK63" s="44"/>
      <c r="DL63" s="44"/>
      <c r="DM63" s="44"/>
      <c r="DN63" s="44"/>
      <c r="DO63" s="44"/>
      <c r="DP63" s="44"/>
      <c r="DQ63" s="44"/>
      <c r="DR63" s="44"/>
      <c r="DS63" s="44"/>
      <c r="DT63" s="44"/>
      <c r="DU63" s="44"/>
      <c r="DV63" s="44"/>
      <c r="DW63" s="44"/>
      <c r="DX63" s="44"/>
      <c r="DY63" s="44"/>
      <c r="DZ63" s="44"/>
      <c r="EA63" s="44"/>
      <c r="EB63" s="44"/>
      <c r="EC63" s="44"/>
      <c r="ED63" s="44"/>
      <c r="EE63" s="44"/>
      <c r="EF63" s="44"/>
      <c r="EG63" s="44"/>
      <c r="EH63" s="44"/>
      <c r="EI63" s="44"/>
      <c r="EJ63" s="44"/>
      <c r="EK63" s="44"/>
      <c r="EL63" s="44"/>
      <c r="EM63" s="44"/>
      <c r="EN63" s="44"/>
      <c r="EO63" s="44"/>
      <c r="EP63" s="44"/>
      <c r="EQ63" s="44"/>
      <c r="ER63" s="44"/>
      <c r="ES63" s="44"/>
      <c r="ET63" s="44"/>
      <c r="EU63" s="44"/>
      <c r="EV63" s="44"/>
      <c r="EW63" s="44"/>
      <c r="EX63" s="44"/>
      <c r="EY63" s="44"/>
      <c r="EZ63" s="44"/>
      <c r="FA63" s="44"/>
      <c r="FB63" s="44"/>
      <c r="FC63" s="44"/>
      <c r="FD63" s="44"/>
      <c r="FE63" s="44"/>
      <c r="FF63" s="44"/>
      <c r="FG63" s="44"/>
      <c r="FH63" s="44"/>
      <c r="FI63" s="44"/>
      <c r="FJ63" s="44"/>
      <c r="FK63" s="44"/>
      <c r="FL63" s="44"/>
      <c r="FM63" s="44"/>
      <c r="FN63" s="44"/>
      <c r="FO63" s="44"/>
      <c r="FP63" s="44"/>
      <c r="FQ63" s="44"/>
      <c r="FR63" s="44"/>
      <c r="FS63" s="44"/>
      <c r="FT63" s="44"/>
      <c r="FU63" s="44"/>
      <c r="FV63" s="44"/>
      <c r="FW63" s="44"/>
      <c r="FX63" s="44"/>
      <c r="FY63" s="44"/>
      <c r="FZ63" s="44"/>
      <c r="GA63" s="44"/>
      <c r="GB63" s="44"/>
      <c r="GC63" s="44"/>
      <c r="GD63" s="44"/>
      <c r="GE63" s="44"/>
      <c r="GF63" s="44"/>
      <c r="GG63" s="44"/>
      <c r="GH63" s="44"/>
      <c r="GI63" s="44"/>
      <c r="GJ63" s="44"/>
      <c r="GK63" s="44"/>
      <c r="GL63" s="44"/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/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/>
      <c r="IB63" s="44"/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/>
      <c r="JF63" s="44"/>
      <c r="JG63" s="44"/>
      <c r="JH63" s="44"/>
      <c r="JI63" s="44"/>
      <c r="JJ63" s="44"/>
    </row>
    <row r="64" spans="1:270" ht="15.75" customHeight="1">
      <c r="A64" s="31">
        <v>5</v>
      </c>
      <c r="B64" s="8" t="s">
        <v>99</v>
      </c>
      <c r="C64" s="9" t="s">
        <v>100</v>
      </c>
      <c r="D64" s="8" t="s">
        <v>43</v>
      </c>
      <c r="E64" s="21">
        <v>2</v>
      </c>
      <c r="F64" s="8"/>
      <c r="G64" s="12" t="s">
        <v>101</v>
      </c>
      <c r="H64" s="8"/>
      <c r="I64" s="26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44"/>
      <c r="CE64" s="44"/>
      <c r="CF64" s="44"/>
      <c r="CG64" s="44"/>
      <c r="CH64" s="44"/>
      <c r="CI64" s="44"/>
      <c r="CJ64" s="44"/>
      <c r="CK64" s="44"/>
      <c r="CL64" s="44"/>
      <c r="CM64" s="44"/>
      <c r="CN64" s="44"/>
      <c r="CO64" s="44"/>
      <c r="CP64" s="44"/>
      <c r="CQ64" s="44"/>
      <c r="CR64" s="44"/>
      <c r="CS64" s="44"/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/>
      <c r="DL64" s="44"/>
      <c r="DM64" s="44"/>
      <c r="DN64" s="44"/>
      <c r="DO64" s="44"/>
      <c r="DP64" s="44"/>
      <c r="DQ64" s="44"/>
      <c r="DR64" s="44"/>
      <c r="DS64" s="44"/>
      <c r="DT64" s="44"/>
      <c r="DU64" s="44"/>
      <c r="DV64" s="44"/>
      <c r="DW64" s="44"/>
      <c r="DX64" s="44"/>
      <c r="DY64" s="44"/>
      <c r="DZ64" s="44"/>
      <c r="EA64" s="44"/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/>
      <c r="EN64" s="44"/>
      <c r="EO64" s="44"/>
      <c r="EP64" s="44"/>
      <c r="EQ64" s="44"/>
      <c r="ER64" s="44"/>
      <c r="ES64" s="44"/>
      <c r="ET64" s="44"/>
      <c r="EU64" s="44"/>
      <c r="EV64" s="44"/>
      <c r="EW64" s="44"/>
      <c r="EX64" s="44"/>
      <c r="EY64" s="44"/>
      <c r="EZ64" s="44"/>
      <c r="FA64" s="44"/>
      <c r="FB64" s="44"/>
      <c r="FC64" s="44"/>
      <c r="FD64" s="44"/>
      <c r="FE64" s="44"/>
      <c r="FF64" s="44"/>
      <c r="FG64" s="44"/>
      <c r="FH64" s="44"/>
      <c r="FI64" s="44"/>
      <c r="FJ64" s="44"/>
      <c r="FK64" s="44"/>
      <c r="FL64" s="44"/>
      <c r="FM64" s="44"/>
      <c r="FN64" s="44"/>
      <c r="FO64" s="44"/>
      <c r="FP64" s="44"/>
      <c r="FQ64" s="44"/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/>
      <c r="GE64" s="44"/>
      <c r="GF64" s="44"/>
      <c r="GG64" s="44"/>
      <c r="GH64" s="44"/>
      <c r="GI64" s="44"/>
      <c r="GJ64" s="44"/>
      <c r="GK64" s="44"/>
      <c r="GL64" s="44"/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/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/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  <c r="IW64" s="44"/>
      <c r="IX64" s="44"/>
      <c r="IY64" s="44"/>
      <c r="IZ64" s="44"/>
      <c r="JA64" s="44"/>
      <c r="JB64" s="44"/>
      <c r="JC64" s="44"/>
      <c r="JD64" s="44"/>
      <c r="JE64" s="44"/>
      <c r="JF64" s="44"/>
      <c r="JG64" s="44"/>
      <c r="JH64" s="44"/>
      <c r="JI64" s="44"/>
      <c r="JJ64" s="44"/>
    </row>
    <row r="65" spans="1:270" ht="15.75" customHeight="1">
      <c r="A65" s="48"/>
      <c r="B65" s="14"/>
      <c r="C65" s="14" t="s">
        <v>27</v>
      </c>
      <c r="D65" s="14"/>
      <c r="E65" s="59">
        <f>SUM(E60:E64)</f>
        <v>13</v>
      </c>
      <c r="F65" s="14">
        <v>0</v>
      </c>
      <c r="G65" s="48"/>
      <c r="H65" s="14">
        <f>SUM(E65:F65)</f>
        <v>13</v>
      </c>
      <c r="I65" s="2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</row>
    <row r="66" spans="1:270" ht="15.75" customHeight="1">
      <c r="A66" s="26"/>
      <c r="B66" s="26"/>
      <c r="C66" s="27"/>
      <c r="D66" s="26"/>
      <c r="E66" s="26"/>
      <c r="F66" s="26"/>
      <c r="G66" s="38"/>
      <c r="H66" s="26"/>
      <c r="I66" s="2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</row>
    <row r="67" spans="1:270" ht="15.75" customHeight="1">
      <c r="A67" s="106" t="s">
        <v>102</v>
      </c>
      <c r="B67" s="107"/>
      <c r="C67" s="107"/>
      <c r="D67" s="107"/>
      <c r="E67" s="107"/>
      <c r="F67" s="107"/>
      <c r="G67" s="107"/>
      <c r="H67" s="108"/>
      <c r="I67" s="17"/>
      <c r="J67" s="17"/>
      <c r="K67" s="17"/>
      <c r="L67" s="17"/>
      <c r="M67" s="47"/>
      <c r="N67" s="69"/>
      <c r="O67" s="17"/>
      <c r="P67" s="17"/>
      <c r="Q67" s="17"/>
      <c r="R67" s="47"/>
      <c r="S67" s="17"/>
      <c r="T67" s="69"/>
      <c r="U67" s="17"/>
      <c r="V67" s="17"/>
      <c r="W67" s="17"/>
      <c r="X67" s="47"/>
      <c r="Y67" s="17"/>
      <c r="Z67" s="69"/>
      <c r="AA67" s="17"/>
      <c r="AB67" s="17"/>
      <c r="AC67" s="17"/>
      <c r="AD67" s="47"/>
      <c r="AE67" s="17"/>
      <c r="AF67" s="69"/>
      <c r="AG67" s="17"/>
      <c r="AH67" s="17"/>
      <c r="AI67" s="17"/>
      <c r="AJ67" s="47"/>
      <c r="AK67" s="17"/>
      <c r="AL67" s="69"/>
      <c r="AM67" s="36"/>
      <c r="AN67" s="36"/>
      <c r="AO67" s="36"/>
      <c r="AP67" s="37"/>
      <c r="AQ67" s="36"/>
      <c r="AR67" s="24"/>
      <c r="AS67" s="25"/>
      <c r="AT67" s="36"/>
      <c r="AU67" s="36"/>
      <c r="AV67" s="37"/>
      <c r="AW67" s="36"/>
      <c r="AX67" s="24"/>
      <c r="AY67" s="25"/>
      <c r="AZ67" s="36"/>
      <c r="BA67" s="36"/>
      <c r="BB67" s="37"/>
      <c r="BC67" s="36"/>
      <c r="BD67" s="24"/>
      <c r="BE67" s="25"/>
      <c r="BF67" s="36"/>
      <c r="BG67" s="36"/>
      <c r="BH67" s="37"/>
      <c r="BI67" s="36"/>
      <c r="BJ67" s="24"/>
      <c r="BK67" s="25"/>
      <c r="BL67" s="36"/>
      <c r="BM67" s="36"/>
      <c r="BN67" s="37"/>
      <c r="BO67" s="36"/>
      <c r="BP67" s="24"/>
      <c r="BQ67" s="25"/>
      <c r="BR67" s="36"/>
      <c r="BS67" s="36"/>
      <c r="BT67" s="37"/>
      <c r="BU67" s="36"/>
      <c r="BV67" s="24"/>
      <c r="BW67" s="25"/>
      <c r="BX67" s="36"/>
      <c r="BY67" s="36"/>
      <c r="BZ67" s="37"/>
      <c r="CA67" s="36"/>
      <c r="CB67" s="24"/>
      <c r="CC67" s="25"/>
      <c r="CD67" s="36"/>
      <c r="CE67" s="36"/>
      <c r="CF67" s="37"/>
      <c r="CG67" s="36"/>
      <c r="CH67" s="24"/>
      <c r="CI67" s="25"/>
      <c r="CJ67" s="36"/>
      <c r="CK67" s="36"/>
      <c r="CL67" s="37"/>
      <c r="CM67" s="36"/>
      <c r="CN67" s="24"/>
      <c r="CO67" s="25"/>
      <c r="CP67" s="36"/>
      <c r="CQ67" s="36"/>
      <c r="CR67" s="37"/>
      <c r="CS67" s="36"/>
      <c r="CT67" s="24"/>
      <c r="CU67" s="25"/>
      <c r="CV67" s="36"/>
      <c r="CW67" s="36"/>
      <c r="CX67" s="37"/>
      <c r="CY67" s="36"/>
      <c r="CZ67" s="24"/>
      <c r="DA67" s="25"/>
      <c r="DB67" s="36"/>
      <c r="DC67" s="36"/>
      <c r="DD67" s="37"/>
      <c r="DE67" s="36"/>
      <c r="DF67" s="24"/>
      <c r="DG67" s="25"/>
      <c r="DH67" s="36"/>
      <c r="DI67" s="36"/>
      <c r="DJ67" s="37"/>
      <c r="DK67" s="36"/>
      <c r="DL67" s="24"/>
      <c r="DM67" s="25"/>
      <c r="DN67" s="36"/>
      <c r="DO67" s="36"/>
      <c r="DP67" s="37"/>
      <c r="DQ67" s="36"/>
      <c r="DR67" s="24"/>
      <c r="DS67" s="25"/>
      <c r="DT67" s="36"/>
      <c r="DU67" s="36"/>
      <c r="DV67" s="37"/>
      <c r="DW67" s="36"/>
      <c r="DX67" s="24"/>
      <c r="DY67" s="25"/>
      <c r="DZ67" s="36"/>
      <c r="EA67" s="36"/>
      <c r="EB67" s="37"/>
      <c r="EC67" s="36"/>
      <c r="ED67" s="24"/>
      <c r="EE67" s="25"/>
      <c r="EF67" s="36"/>
      <c r="EG67" s="36"/>
      <c r="EH67" s="37"/>
      <c r="EI67" s="36"/>
      <c r="EJ67" s="24"/>
      <c r="EK67" s="25"/>
      <c r="EL67" s="36"/>
      <c r="EM67" s="36"/>
      <c r="EN67" s="37"/>
      <c r="EO67" s="36"/>
      <c r="EP67" s="24"/>
      <c r="EQ67" s="25"/>
      <c r="ER67" s="36"/>
      <c r="ES67" s="36"/>
      <c r="ET67" s="37"/>
      <c r="EU67" s="36"/>
      <c r="EV67" s="24"/>
      <c r="EW67" s="25"/>
      <c r="EX67" s="36"/>
      <c r="EY67" s="36"/>
      <c r="EZ67" s="37"/>
      <c r="FA67" s="36"/>
      <c r="FB67" s="24"/>
      <c r="FC67" s="25"/>
      <c r="FD67" s="36"/>
      <c r="FE67" s="36"/>
      <c r="FF67" s="37"/>
      <c r="FG67" s="36"/>
      <c r="FH67" s="24"/>
      <c r="FI67" s="25"/>
      <c r="FJ67" s="36"/>
      <c r="FK67" s="36"/>
      <c r="FL67" s="37"/>
      <c r="FM67" s="36"/>
      <c r="FN67" s="24"/>
      <c r="FO67" s="25"/>
      <c r="FP67" s="36"/>
      <c r="FQ67" s="36"/>
      <c r="FR67" s="37"/>
      <c r="FS67" s="36"/>
      <c r="FT67" s="24"/>
      <c r="FU67" s="25"/>
      <c r="FV67" s="36"/>
      <c r="FW67" s="36"/>
      <c r="FX67" s="37"/>
      <c r="FY67" s="36"/>
      <c r="FZ67" s="24"/>
      <c r="GA67" s="25"/>
      <c r="GB67" s="36"/>
      <c r="GC67" s="36"/>
      <c r="GD67" s="37"/>
      <c r="GE67" s="36"/>
      <c r="GF67" s="24"/>
      <c r="GG67" s="25"/>
      <c r="GH67" s="36"/>
      <c r="GI67" s="36"/>
      <c r="GJ67" s="37"/>
      <c r="GK67" s="36"/>
      <c r="GL67" s="24"/>
      <c r="GM67" s="25"/>
      <c r="GN67" s="36"/>
      <c r="GO67" s="36"/>
      <c r="GP67" s="37"/>
      <c r="GQ67" s="36"/>
      <c r="GR67" s="24"/>
      <c r="GS67" s="25"/>
      <c r="GT67" s="36"/>
      <c r="GU67" s="36"/>
      <c r="GV67" s="37"/>
      <c r="GW67" s="36"/>
      <c r="GX67" s="24"/>
      <c r="GY67" s="25"/>
      <c r="GZ67" s="36"/>
      <c r="HA67" s="36"/>
      <c r="HB67" s="37"/>
      <c r="HC67" s="36"/>
      <c r="HD67" s="24"/>
      <c r="HE67" s="25"/>
      <c r="HF67" s="36"/>
      <c r="HG67" s="36"/>
      <c r="HH67" s="37"/>
      <c r="HI67" s="36"/>
      <c r="HJ67" s="24"/>
      <c r="HK67" s="25"/>
      <c r="HL67" s="36"/>
      <c r="HM67" s="36"/>
      <c r="HN67" s="37"/>
      <c r="HO67" s="36"/>
      <c r="HP67" s="24"/>
      <c r="HQ67" s="25"/>
      <c r="HR67" s="36"/>
      <c r="HS67" s="36"/>
      <c r="HT67" s="37"/>
      <c r="HU67" s="36"/>
      <c r="HV67" s="24"/>
      <c r="HW67" s="25"/>
      <c r="HX67" s="36"/>
      <c r="HY67" s="36"/>
      <c r="HZ67" s="37"/>
      <c r="IA67" s="36"/>
      <c r="IB67" s="24"/>
      <c r="IC67" s="25"/>
      <c r="ID67" s="36"/>
      <c r="IE67" s="36"/>
      <c r="IF67" s="37"/>
      <c r="IG67" s="36"/>
      <c r="IH67" s="24"/>
      <c r="II67" s="25"/>
      <c r="IJ67" s="36"/>
      <c r="IK67" s="36"/>
      <c r="IL67" s="37"/>
      <c r="IM67" s="36"/>
      <c r="IN67" s="24"/>
      <c r="IO67" s="25"/>
      <c r="IP67" s="36"/>
      <c r="IQ67" s="36"/>
      <c r="IR67" s="37"/>
      <c r="IS67" s="36"/>
      <c r="IT67" s="24"/>
      <c r="IU67" s="25"/>
      <c r="IV67" s="36"/>
      <c r="IW67" s="36"/>
      <c r="IX67" s="37"/>
      <c r="IY67" s="36"/>
      <c r="IZ67" s="24"/>
      <c r="JA67" s="25"/>
      <c r="JB67" s="36"/>
      <c r="JC67" s="36"/>
      <c r="JD67" s="37"/>
      <c r="JE67" s="36"/>
      <c r="JF67" s="24"/>
      <c r="JG67" s="25"/>
      <c r="JH67" s="36"/>
      <c r="JI67" s="36"/>
      <c r="JJ67" s="37"/>
    </row>
    <row r="68" spans="1:270" ht="15.75" customHeight="1">
      <c r="A68" s="109" t="s">
        <v>103</v>
      </c>
      <c r="B68" s="107"/>
      <c r="C68" s="107"/>
      <c r="D68" s="107"/>
      <c r="E68" s="107"/>
      <c r="F68" s="107"/>
      <c r="G68" s="107"/>
      <c r="H68" s="108"/>
      <c r="I68" s="2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</row>
    <row r="69" spans="1:270" ht="15.75" customHeight="1">
      <c r="A69" s="7" t="s">
        <v>6</v>
      </c>
      <c r="B69" s="7" t="s">
        <v>7</v>
      </c>
      <c r="C69" s="7" t="s">
        <v>8</v>
      </c>
      <c r="D69" s="7" t="s">
        <v>9</v>
      </c>
      <c r="E69" s="7" t="s">
        <v>10</v>
      </c>
      <c r="F69" s="7" t="s">
        <v>11</v>
      </c>
      <c r="G69" s="7" t="s">
        <v>12</v>
      </c>
      <c r="H69" s="7" t="s">
        <v>13</v>
      </c>
      <c r="I69" s="4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</row>
    <row r="70" spans="1:270" ht="15.75" customHeight="1">
      <c r="A70" s="8">
        <v>1</v>
      </c>
      <c r="B70" s="8" t="s">
        <v>104</v>
      </c>
      <c r="C70" s="9" t="s">
        <v>105</v>
      </c>
      <c r="D70" s="8" t="s">
        <v>43</v>
      </c>
      <c r="E70" s="8">
        <v>2</v>
      </c>
      <c r="F70" s="8"/>
      <c r="G70" s="101" t="s">
        <v>106</v>
      </c>
      <c r="H70" s="8"/>
      <c r="I70" s="70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</row>
    <row r="71" spans="1:270" ht="15.75" customHeight="1">
      <c r="A71" s="8">
        <v>2</v>
      </c>
      <c r="B71" s="8" t="s">
        <v>107</v>
      </c>
      <c r="C71" s="9" t="s">
        <v>108</v>
      </c>
      <c r="D71" s="8" t="s">
        <v>16</v>
      </c>
      <c r="E71" s="8">
        <v>3</v>
      </c>
      <c r="F71" s="8"/>
      <c r="G71" s="12" t="s">
        <v>109</v>
      </c>
      <c r="H71" s="8"/>
      <c r="I71" s="47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</row>
    <row r="72" spans="1:270" ht="15.75" customHeight="1">
      <c r="A72" s="8">
        <v>3</v>
      </c>
      <c r="B72" s="8" t="s">
        <v>110</v>
      </c>
      <c r="C72" s="9" t="s">
        <v>111</v>
      </c>
      <c r="D72" s="8" t="s">
        <v>16</v>
      </c>
      <c r="E72" s="8">
        <v>3</v>
      </c>
      <c r="F72" s="8"/>
      <c r="G72" s="12"/>
      <c r="H72" s="8"/>
      <c r="I72" s="26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</row>
    <row r="73" spans="1:270" ht="15.75" customHeight="1">
      <c r="A73" s="8">
        <v>4</v>
      </c>
      <c r="B73" s="8" t="s">
        <v>112</v>
      </c>
      <c r="C73" s="9" t="s">
        <v>113</v>
      </c>
      <c r="D73" s="8" t="s">
        <v>19</v>
      </c>
      <c r="E73" s="8">
        <v>3</v>
      </c>
      <c r="F73" s="8"/>
      <c r="G73" s="12"/>
      <c r="H73" s="8"/>
      <c r="I73" s="26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</row>
    <row r="74" spans="1:270" ht="15.75" customHeight="1">
      <c r="A74" s="8">
        <v>5</v>
      </c>
      <c r="B74" s="8" t="s">
        <v>114</v>
      </c>
      <c r="C74" s="9" t="s">
        <v>115</v>
      </c>
      <c r="D74" s="8" t="s">
        <v>61</v>
      </c>
      <c r="E74" s="8">
        <v>2</v>
      </c>
      <c r="F74" s="8"/>
      <c r="G74" s="12" t="s">
        <v>82</v>
      </c>
      <c r="H74" s="8"/>
      <c r="I74" s="26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</row>
    <row r="75" spans="1:270" ht="15.75" customHeight="1">
      <c r="A75" s="48"/>
      <c r="B75" s="14"/>
      <c r="C75" s="14" t="s">
        <v>27</v>
      </c>
      <c r="D75" s="14"/>
      <c r="E75" s="59">
        <f>SUM(E70:E74)</f>
        <v>13</v>
      </c>
      <c r="F75" s="14"/>
      <c r="G75" s="48"/>
      <c r="H75" s="14">
        <f>SUM(E75:F75)</f>
        <v>13</v>
      </c>
      <c r="I75" s="2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</row>
    <row r="76" spans="1:270" ht="15.75" customHeight="1">
      <c r="A76" s="26"/>
      <c r="B76" s="26"/>
      <c r="C76" s="27"/>
      <c r="D76" s="26"/>
      <c r="E76" s="26"/>
      <c r="F76" s="26"/>
      <c r="G76" s="38"/>
      <c r="H76" s="26"/>
      <c r="I76" s="2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</row>
    <row r="77" spans="1:270" ht="15.75" customHeight="1">
      <c r="A77" s="106" t="s">
        <v>116</v>
      </c>
      <c r="B77" s="107"/>
      <c r="C77" s="107"/>
      <c r="D77" s="107"/>
      <c r="E77" s="107"/>
      <c r="F77" s="107"/>
      <c r="G77" s="107"/>
      <c r="H77" s="108"/>
      <c r="I77" s="2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</row>
    <row r="78" spans="1:270" ht="15.75" customHeight="1">
      <c r="A78" s="109" t="s">
        <v>117</v>
      </c>
      <c r="B78" s="107"/>
      <c r="C78" s="107"/>
      <c r="D78" s="107"/>
      <c r="E78" s="107"/>
      <c r="F78" s="107"/>
      <c r="G78" s="107"/>
      <c r="H78" s="108"/>
      <c r="I78" s="17"/>
      <c r="J78" s="17"/>
      <c r="K78" s="17"/>
      <c r="L78" s="17"/>
      <c r="M78" s="47"/>
      <c r="N78" s="69"/>
      <c r="O78" s="17"/>
      <c r="P78" s="17"/>
      <c r="Q78" s="17"/>
      <c r="R78" s="47"/>
      <c r="S78" s="17"/>
      <c r="T78" s="69"/>
      <c r="U78" s="17"/>
      <c r="V78" s="17"/>
      <c r="W78" s="17"/>
      <c r="X78" s="47"/>
      <c r="Y78" s="17"/>
      <c r="Z78" s="69"/>
      <c r="AA78" s="17"/>
      <c r="AB78" s="17"/>
      <c r="AC78" s="17"/>
      <c r="AD78" s="47"/>
      <c r="AE78" s="17"/>
      <c r="AF78" s="69"/>
      <c r="AG78" s="17"/>
      <c r="AH78" s="17"/>
      <c r="AI78" s="17"/>
      <c r="AJ78" s="47"/>
      <c r="AK78" s="17"/>
      <c r="AL78" s="69"/>
      <c r="AM78" s="17"/>
      <c r="AN78" s="17"/>
      <c r="AO78" s="17"/>
      <c r="AP78" s="47"/>
      <c r="AQ78" s="17"/>
      <c r="AR78" s="69"/>
      <c r="AS78" s="17"/>
      <c r="AT78" s="17"/>
      <c r="AU78" s="17"/>
      <c r="AV78" s="47"/>
      <c r="AW78" s="17"/>
      <c r="AX78" s="69"/>
      <c r="AY78" s="17"/>
      <c r="AZ78" s="17"/>
      <c r="BA78" s="17"/>
      <c r="BB78" s="47"/>
      <c r="BC78" s="17"/>
      <c r="BD78" s="69"/>
      <c r="BE78" s="17"/>
      <c r="BF78" s="36"/>
      <c r="BG78" s="36"/>
      <c r="BH78" s="37"/>
      <c r="BI78" s="36"/>
      <c r="BJ78" s="24"/>
      <c r="BK78" s="25"/>
      <c r="BL78" s="36"/>
      <c r="BM78" s="36"/>
      <c r="BN78" s="37"/>
      <c r="BO78" s="36"/>
      <c r="BP78" s="24"/>
      <c r="BQ78" s="25"/>
      <c r="BR78" s="36"/>
      <c r="BS78" s="36"/>
      <c r="BT78" s="37"/>
      <c r="BU78" s="36"/>
      <c r="BV78" s="24"/>
      <c r="BW78" s="25"/>
      <c r="BX78" s="36"/>
      <c r="BY78" s="36"/>
      <c r="BZ78" s="37"/>
      <c r="CA78" s="36"/>
      <c r="CB78" s="24"/>
      <c r="CC78" s="25"/>
      <c r="CD78" s="36"/>
      <c r="CE78" s="36"/>
      <c r="CF78" s="37"/>
      <c r="CG78" s="36"/>
      <c r="CH78" s="24"/>
      <c r="CI78" s="25"/>
      <c r="CJ78" s="36"/>
      <c r="CK78" s="36"/>
      <c r="CL78" s="37"/>
      <c r="CM78" s="36"/>
      <c r="CN78" s="24"/>
      <c r="CO78" s="25"/>
      <c r="CP78" s="36"/>
      <c r="CQ78" s="36"/>
      <c r="CR78" s="37"/>
      <c r="CS78" s="36"/>
      <c r="CT78" s="24"/>
      <c r="CU78" s="25"/>
      <c r="CV78" s="36"/>
      <c r="CW78" s="36"/>
      <c r="CX78" s="37"/>
      <c r="CY78" s="36"/>
      <c r="CZ78" s="24"/>
      <c r="DA78" s="25"/>
      <c r="DB78" s="36"/>
      <c r="DC78" s="36"/>
      <c r="DD78" s="37"/>
      <c r="DE78" s="36"/>
      <c r="DF78" s="24"/>
      <c r="DG78" s="25"/>
      <c r="DH78" s="36"/>
      <c r="DI78" s="36"/>
      <c r="DJ78" s="37"/>
      <c r="DK78" s="36"/>
      <c r="DL78" s="24"/>
      <c r="DM78" s="25"/>
      <c r="DN78" s="36"/>
      <c r="DO78" s="36"/>
      <c r="DP78" s="37"/>
      <c r="DQ78" s="36"/>
      <c r="DR78" s="24"/>
      <c r="DS78" s="25"/>
      <c r="DT78" s="36"/>
      <c r="DU78" s="36"/>
      <c r="DV78" s="37"/>
      <c r="DW78" s="36"/>
      <c r="DX78" s="24"/>
      <c r="DY78" s="25"/>
      <c r="DZ78" s="36"/>
      <c r="EA78" s="36"/>
      <c r="EB78" s="37"/>
      <c r="EC78" s="36"/>
      <c r="ED78" s="24"/>
      <c r="EE78" s="25"/>
      <c r="EF78" s="36"/>
      <c r="EG78" s="36"/>
      <c r="EH78" s="37"/>
      <c r="EI78" s="36"/>
      <c r="EJ78" s="24"/>
      <c r="EK78" s="25"/>
      <c r="EL78" s="36"/>
      <c r="EM78" s="36"/>
      <c r="EN78" s="37"/>
      <c r="EO78" s="36"/>
      <c r="EP78" s="24"/>
      <c r="EQ78" s="25"/>
      <c r="ER78" s="36"/>
      <c r="ES78" s="36"/>
      <c r="ET78" s="37"/>
      <c r="EU78" s="36"/>
      <c r="EV78" s="24"/>
      <c r="EW78" s="25"/>
      <c r="EX78" s="36"/>
      <c r="EY78" s="36"/>
      <c r="EZ78" s="37"/>
      <c r="FA78" s="36"/>
      <c r="FB78" s="24"/>
      <c r="FC78" s="25"/>
      <c r="FD78" s="36"/>
      <c r="FE78" s="36"/>
      <c r="FF78" s="37"/>
      <c r="FG78" s="36"/>
      <c r="FH78" s="24"/>
      <c r="FI78" s="25"/>
      <c r="FJ78" s="36"/>
      <c r="FK78" s="36"/>
      <c r="FL78" s="37"/>
      <c r="FM78" s="36"/>
      <c r="FN78" s="24"/>
      <c r="FO78" s="25"/>
      <c r="FP78" s="36"/>
      <c r="FQ78" s="36"/>
      <c r="FR78" s="37"/>
      <c r="FS78" s="36"/>
      <c r="FT78" s="24"/>
      <c r="FU78" s="25"/>
      <c r="FV78" s="36"/>
      <c r="FW78" s="36"/>
      <c r="FX78" s="37"/>
      <c r="FY78" s="36"/>
      <c r="FZ78" s="24"/>
      <c r="GA78" s="25"/>
      <c r="GB78" s="36"/>
      <c r="GC78" s="36"/>
      <c r="GD78" s="37"/>
      <c r="GE78" s="36"/>
      <c r="GF78" s="24"/>
      <c r="GG78" s="25"/>
      <c r="GH78" s="36"/>
      <c r="GI78" s="36"/>
      <c r="GJ78" s="37"/>
      <c r="GK78" s="36"/>
      <c r="GL78" s="24"/>
      <c r="GM78" s="25"/>
      <c r="GN78" s="36"/>
      <c r="GO78" s="36"/>
      <c r="GP78" s="37"/>
      <c r="GQ78" s="36"/>
      <c r="GR78" s="24"/>
      <c r="GS78" s="25"/>
      <c r="GT78" s="36"/>
      <c r="GU78" s="36"/>
      <c r="GV78" s="37"/>
      <c r="GW78" s="36"/>
      <c r="GX78" s="24"/>
      <c r="GY78" s="25"/>
      <c r="GZ78" s="36"/>
      <c r="HA78" s="36"/>
      <c r="HB78" s="37"/>
      <c r="HC78" s="36"/>
      <c r="HD78" s="24"/>
      <c r="HE78" s="25"/>
      <c r="HF78" s="36"/>
      <c r="HG78" s="36"/>
      <c r="HH78" s="37"/>
      <c r="HI78" s="36"/>
      <c r="HJ78" s="24"/>
      <c r="HK78" s="25"/>
      <c r="HL78" s="36"/>
      <c r="HM78" s="36"/>
      <c r="HN78" s="37"/>
      <c r="HO78" s="36"/>
      <c r="HP78" s="24"/>
      <c r="HQ78" s="25"/>
      <c r="HR78" s="36"/>
      <c r="HS78" s="36"/>
      <c r="HT78" s="37"/>
      <c r="HU78" s="36"/>
      <c r="HV78" s="24"/>
      <c r="HW78" s="25"/>
      <c r="HX78" s="36"/>
      <c r="HY78" s="36"/>
      <c r="HZ78" s="37"/>
      <c r="IA78" s="36"/>
      <c r="IB78" s="24"/>
      <c r="IC78" s="25"/>
      <c r="ID78" s="36"/>
      <c r="IE78" s="36"/>
      <c r="IF78" s="37"/>
      <c r="IG78" s="36"/>
      <c r="IH78" s="24"/>
      <c r="II78" s="25"/>
      <c r="IJ78" s="36"/>
      <c r="IK78" s="36"/>
      <c r="IL78" s="37"/>
      <c r="IM78" s="36"/>
      <c r="IN78" s="24"/>
      <c r="IO78" s="25"/>
      <c r="IP78" s="36"/>
      <c r="IQ78" s="36"/>
      <c r="IR78" s="37"/>
      <c r="IS78" s="36"/>
      <c r="IT78" s="24"/>
      <c r="IU78" s="25"/>
      <c r="IV78" s="36"/>
      <c r="IW78" s="36"/>
      <c r="IX78" s="37"/>
      <c r="IY78" s="36"/>
      <c r="IZ78" s="24"/>
      <c r="JA78" s="25"/>
      <c r="JB78" s="36"/>
      <c r="JC78" s="36"/>
      <c r="JD78" s="37"/>
      <c r="JE78" s="36"/>
      <c r="JF78" s="24"/>
      <c r="JG78" s="25"/>
      <c r="JH78" s="36"/>
      <c r="JI78" s="36"/>
      <c r="JJ78" s="37"/>
    </row>
    <row r="79" spans="1:270" ht="15.75" customHeight="1">
      <c r="A79" s="7" t="s">
        <v>6</v>
      </c>
      <c r="B79" s="7" t="s">
        <v>7</v>
      </c>
      <c r="C79" s="7" t="s">
        <v>8</v>
      </c>
      <c r="D79" s="7" t="s">
        <v>9</v>
      </c>
      <c r="E79" s="7" t="s">
        <v>10</v>
      </c>
      <c r="F79" s="7" t="s">
        <v>11</v>
      </c>
      <c r="G79" s="7" t="s">
        <v>12</v>
      </c>
      <c r="H79" s="7" t="s">
        <v>13</v>
      </c>
      <c r="I79" s="2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</row>
    <row r="80" spans="1:270" ht="15.75" customHeight="1">
      <c r="A80" s="8">
        <v>1</v>
      </c>
      <c r="B80" s="8" t="s">
        <v>118</v>
      </c>
      <c r="C80" s="9" t="s">
        <v>119</v>
      </c>
      <c r="D80" s="8" t="s">
        <v>120</v>
      </c>
      <c r="E80" s="8">
        <v>2</v>
      </c>
      <c r="F80" s="8"/>
      <c r="G80" s="12"/>
      <c r="H80" s="8"/>
      <c r="I80" s="70"/>
      <c r="J80" s="1"/>
      <c r="K80" s="1"/>
      <c r="L80" s="1"/>
      <c r="M80" s="1"/>
      <c r="N80" s="1"/>
      <c r="O80" s="1"/>
      <c r="P80" s="1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  <c r="JA80" s="44"/>
      <c r="JB80" s="44"/>
      <c r="JC80" s="44"/>
      <c r="JD80" s="44"/>
      <c r="JE80" s="44"/>
      <c r="JF80" s="44"/>
      <c r="JG80" s="44"/>
      <c r="JH80" s="44"/>
      <c r="JI80" s="44"/>
      <c r="JJ80" s="44"/>
    </row>
    <row r="81" spans="1:270" ht="15.75" customHeight="1">
      <c r="A81" s="8">
        <v>2</v>
      </c>
      <c r="B81" s="8" t="s">
        <v>121</v>
      </c>
      <c r="C81" s="9" t="s">
        <v>122</v>
      </c>
      <c r="D81" s="8" t="s">
        <v>61</v>
      </c>
      <c r="E81" s="8">
        <v>2</v>
      </c>
      <c r="F81" s="8"/>
      <c r="G81" s="12" t="s">
        <v>123</v>
      </c>
      <c r="H81" s="8"/>
      <c r="I81" s="70"/>
      <c r="J81" s="124"/>
      <c r="K81" s="133" t="s">
        <v>240</v>
      </c>
      <c r="L81" s="133"/>
      <c r="M81" s="133" t="s">
        <v>238</v>
      </c>
      <c r="N81" s="133"/>
      <c r="O81" s="133" t="s">
        <v>239</v>
      </c>
      <c r="P81" s="133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  <c r="DE81" s="44"/>
      <c r="DF81" s="44"/>
      <c r="DG81" s="44"/>
      <c r="DH81" s="44"/>
      <c r="DI81" s="44"/>
      <c r="DJ81" s="44"/>
      <c r="DK81" s="44"/>
      <c r="DL81" s="44"/>
      <c r="DM81" s="44"/>
      <c r="DN81" s="44"/>
      <c r="DO81" s="44"/>
      <c r="DP81" s="44"/>
      <c r="DQ81" s="44"/>
      <c r="DR81" s="44"/>
      <c r="DS81" s="44"/>
      <c r="DT81" s="44"/>
      <c r="DU81" s="44"/>
      <c r="DV81" s="44"/>
      <c r="DW81" s="44"/>
      <c r="DX81" s="44"/>
      <c r="DY81" s="44"/>
      <c r="DZ81" s="44"/>
      <c r="EA81" s="44"/>
      <c r="EB81" s="44"/>
      <c r="EC81" s="44"/>
      <c r="ED81" s="44"/>
      <c r="EE81" s="44"/>
      <c r="EF81" s="44"/>
      <c r="EG81" s="44"/>
      <c r="EH81" s="44"/>
      <c r="EI81" s="44"/>
      <c r="EJ81" s="44"/>
      <c r="EK81" s="44"/>
      <c r="EL81" s="44"/>
      <c r="EM81" s="44"/>
      <c r="EN81" s="44"/>
      <c r="EO81" s="44"/>
      <c r="EP81" s="44"/>
      <c r="EQ81" s="44"/>
      <c r="ER81" s="44"/>
      <c r="ES81" s="44"/>
      <c r="ET81" s="44"/>
      <c r="EU81" s="44"/>
      <c r="EV81" s="44"/>
      <c r="EW81" s="44"/>
      <c r="EX81" s="44"/>
      <c r="EY81" s="44"/>
      <c r="EZ81" s="44"/>
      <c r="FA81" s="44"/>
      <c r="FB81" s="44"/>
      <c r="FC81" s="44"/>
      <c r="FD81" s="44"/>
      <c r="FE81" s="44"/>
      <c r="FF81" s="44"/>
      <c r="FG81" s="44"/>
      <c r="FH81" s="44"/>
      <c r="FI81" s="44"/>
      <c r="FJ81" s="44"/>
      <c r="FK81" s="44"/>
      <c r="FL81" s="44"/>
      <c r="FM81" s="44"/>
      <c r="FN81" s="44"/>
      <c r="FO81" s="44"/>
      <c r="FP81" s="44"/>
      <c r="FQ81" s="44"/>
      <c r="FR81" s="44"/>
      <c r="FS81" s="44"/>
      <c r="FT81" s="44"/>
      <c r="FU81" s="44"/>
      <c r="FV81" s="44"/>
      <c r="FW81" s="44"/>
      <c r="FX81" s="44"/>
      <c r="FY81" s="44"/>
      <c r="FZ81" s="44"/>
      <c r="GA81" s="44"/>
      <c r="GB81" s="44"/>
      <c r="GC81" s="44"/>
      <c r="GD81" s="44"/>
      <c r="GE81" s="44"/>
      <c r="GF81" s="44"/>
      <c r="GG81" s="44"/>
      <c r="GH81" s="44"/>
      <c r="GI81" s="44"/>
      <c r="GJ81" s="44"/>
      <c r="GK81" s="44"/>
      <c r="GL81" s="44"/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/>
      <c r="HL81" s="44"/>
      <c r="HM81" s="44"/>
      <c r="HN81" s="44"/>
      <c r="HO81" s="44"/>
      <c r="HP81" s="44"/>
      <c r="HQ81" s="44"/>
      <c r="HR81" s="44"/>
      <c r="HS81" s="44"/>
      <c r="HT81" s="44"/>
      <c r="HU81" s="44"/>
      <c r="HV81" s="44"/>
      <c r="HW81" s="44"/>
      <c r="HX81" s="44"/>
      <c r="HY81" s="44"/>
      <c r="HZ81" s="44"/>
      <c r="IA81" s="44"/>
      <c r="IB81" s="44"/>
      <c r="IC81" s="44"/>
      <c r="ID81" s="44"/>
      <c r="IE81" s="44"/>
      <c r="IF81" s="44"/>
      <c r="IG81" s="44"/>
      <c r="IH81" s="44"/>
      <c r="II81" s="44"/>
      <c r="IJ81" s="44"/>
      <c r="IK81" s="44"/>
      <c r="IL81" s="44"/>
      <c r="IM81" s="44"/>
      <c r="IN81" s="44"/>
      <c r="IO81" s="44"/>
      <c r="IP81" s="44"/>
      <c r="IQ81" s="44"/>
      <c r="IR81" s="44"/>
      <c r="IS81" s="44"/>
      <c r="IT81" s="44"/>
      <c r="IU81" s="44"/>
      <c r="IV81" s="44"/>
      <c r="IW81" s="44"/>
      <c r="IX81" s="44"/>
      <c r="IY81" s="44"/>
      <c r="IZ81" s="44"/>
      <c r="JA81" s="44"/>
      <c r="JB81" s="44"/>
      <c r="JC81" s="44"/>
      <c r="JD81" s="44"/>
      <c r="JE81" s="44"/>
      <c r="JF81" s="44"/>
      <c r="JG81" s="44"/>
      <c r="JH81" s="44"/>
      <c r="JI81" s="44"/>
      <c r="JJ81" s="44"/>
    </row>
    <row r="82" spans="1:270" ht="15.75" customHeight="1">
      <c r="A82" s="8">
        <v>3</v>
      </c>
      <c r="B82" s="8" t="s">
        <v>124</v>
      </c>
      <c r="C82" s="9" t="s">
        <v>125</v>
      </c>
      <c r="D82" s="8" t="s">
        <v>16</v>
      </c>
      <c r="E82" s="8">
        <v>3</v>
      </c>
      <c r="F82" s="8"/>
      <c r="G82" s="12" t="s">
        <v>82</v>
      </c>
      <c r="H82" s="8"/>
      <c r="I82" s="47"/>
      <c r="J82" s="125"/>
      <c r="K82" s="134" t="s">
        <v>10</v>
      </c>
      <c r="L82" s="134" t="s">
        <v>11</v>
      </c>
      <c r="M82" s="134" t="s">
        <v>10</v>
      </c>
      <c r="N82" s="134" t="s">
        <v>11</v>
      </c>
      <c r="O82" s="134" t="s">
        <v>10</v>
      </c>
      <c r="P82" s="134" t="s">
        <v>11</v>
      </c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/>
      <c r="CP82" s="44"/>
      <c r="CQ82" s="44"/>
      <c r="CR82" s="44"/>
      <c r="CS82" s="44"/>
      <c r="CT82" s="44"/>
      <c r="CU82" s="44"/>
      <c r="CV82" s="44"/>
      <c r="CW82" s="44"/>
      <c r="CX82" s="44"/>
      <c r="CY82" s="44"/>
      <c r="CZ82" s="44"/>
      <c r="DA82" s="44"/>
      <c r="DB82" s="44"/>
      <c r="DC82" s="44"/>
      <c r="DD82" s="44"/>
      <c r="DE82" s="44"/>
      <c r="DF82" s="44"/>
      <c r="DG82" s="44"/>
      <c r="DH82" s="44"/>
      <c r="DI82" s="44"/>
      <c r="DJ82" s="44"/>
      <c r="DK82" s="44"/>
      <c r="DL82" s="44"/>
      <c r="DM82" s="44"/>
      <c r="DN82" s="44"/>
      <c r="DO82" s="44"/>
      <c r="DP82" s="44"/>
      <c r="DQ82" s="44"/>
      <c r="DR82" s="44"/>
      <c r="DS82" s="44"/>
      <c r="DT82" s="44"/>
      <c r="DU82" s="44"/>
      <c r="DV82" s="44"/>
      <c r="DW82" s="44"/>
      <c r="DX82" s="44"/>
      <c r="DY82" s="44"/>
      <c r="DZ82" s="44"/>
      <c r="EA82" s="44"/>
      <c r="EB82" s="44"/>
      <c r="EC82" s="44"/>
      <c r="ED82" s="44"/>
      <c r="EE82" s="44"/>
      <c r="EF82" s="44"/>
      <c r="EG82" s="44"/>
      <c r="EH82" s="44"/>
      <c r="EI82" s="44"/>
      <c r="EJ82" s="44"/>
      <c r="EK82" s="44"/>
      <c r="EL82" s="44"/>
      <c r="EM82" s="44"/>
      <c r="EN82" s="44"/>
      <c r="EO82" s="44"/>
      <c r="EP82" s="44"/>
      <c r="EQ82" s="44"/>
      <c r="ER82" s="44"/>
      <c r="ES82" s="44"/>
      <c r="ET82" s="44"/>
      <c r="EU82" s="44"/>
      <c r="EV82" s="44"/>
      <c r="EW82" s="44"/>
      <c r="EX82" s="44"/>
      <c r="EY82" s="44"/>
      <c r="EZ82" s="44"/>
      <c r="FA82" s="44"/>
      <c r="FB82" s="44"/>
      <c r="FC82" s="44"/>
      <c r="FD82" s="44"/>
      <c r="FE82" s="44"/>
      <c r="FF82" s="44"/>
      <c r="FG82" s="44"/>
      <c r="FH82" s="44"/>
      <c r="FI82" s="44"/>
      <c r="FJ82" s="44"/>
      <c r="FK82" s="44"/>
      <c r="FL82" s="44"/>
      <c r="FM82" s="44"/>
      <c r="FN82" s="44"/>
      <c r="FO82" s="44"/>
      <c r="FP82" s="44"/>
      <c r="FQ82" s="44"/>
      <c r="FR82" s="44"/>
      <c r="FS82" s="44"/>
      <c r="FT82" s="44"/>
      <c r="FU82" s="44"/>
      <c r="FV82" s="44"/>
      <c r="FW82" s="44"/>
      <c r="FX82" s="44"/>
      <c r="FY82" s="44"/>
      <c r="FZ82" s="44"/>
      <c r="GA82" s="44"/>
      <c r="GB82" s="44"/>
      <c r="GC82" s="44"/>
      <c r="GD82" s="44"/>
      <c r="GE82" s="44"/>
      <c r="GF82" s="44"/>
      <c r="GG82" s="44"/>
      <c r="GH82" s="44"/>
      <c r="GI82" s="44"/>
      <c r="GJ82" s="44"/>
      <c r="GK82" s="44"/>
      <c r="GL82" s="44"/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/>
      <c r="HL82" s="44"/>
      <c r="HM82" s="44"/>
      <c r="HN82" s="44"/>
      <c r="HO82" s="44"/>
      <c r="HP82" s="44"/>
      <c r="HQ82" s="44"/>
      <c r="HR82" s="44"/>
      <c r="HS82" s="44"/>
      <c r="HT82" s="44"/>
      <c r="HU82" s="44"/>
      <c r="HV82" s="44"/>
      <c r="HW82" s="44"/>
      <c r="HX82" s="44"/>
      <c r="HY82" s="44"/>
      <c r="HZ82" s="44"/>
      <c r="IA82" s="44"/>
      <c r="IB82" s="44"/>
      <c r="IC82" s="44"/>
      <c r="ID82" s="44"/>
      <c r="IE82" s="44"/>
      <c r="IF82" s="44"/>
      <c r="IG82" s="44"/>
      <c r="IH82" s="44"/>
      <c r="II82" s="44"/>
      <c r="IJ82" s="44"/>
      <c r="IK82" s="44"/>
      <c r="IL82" s="44"/>
      <c r="IM82" s="44"/>
      <c r="IN82" s="44"/>
      <c r="IO82" s="44"/>
      <c r="IP82" s="44"/>
      <c r="IQ82" s="44"/>
      <c r="IR82" s="44"/>
      <c r="IS82" s="44"/>
      <c r="IT82" s="44"/>
      <c r="IU82" s="44"/>
      <c r="IV82" s="44"/>
      <c r="IW82" s="44"/>
      <c r="IX82" s="44"/>
      <c r="IY82" s="44"/>
      <c r="IZ82" s="44"/>
      <c r="JA82" s="44"/>
      <c r="JB82" s="44"/>
      <c r="JC82" s="44"/>
      <c r="JD82" s="44"/>
      <c r="JE82" s="44"/>
      <c r="JF82" s="44"/>
      <c r="JG82" s="44"/>
      <c r="JH82" s="44"/>
      <c r="JI82" s="44"/>
      <c r="JJ82" s="44"/>
    </row>
    <row r="83" spans="1:270" ht="15.75" customHeight="1">
      <c r="A83" s="49">
        <v>4</v>
      </c>
      <c r="B83" s="49" t="s">
        <v>126</v>
      </c>
      <c r="C83" s="20" t="s">
        <v>127</v>
      </c>
      <c r="D83" s="19" t="s">
        <v>43</v>
      </c>
      <c r="E83" s="19">
        <v>2</v>
      </c>
      <c r="F83" s="60"/>
      <c r="G83" s="61"/>
      <c r="H83" s="19"/>
      <c r="I83" s="44"/>
      <c r="J83" s="125" t="s">
        <v>5</v>
      </c>
      <c r="K83" s="135">
        <f>(E15+E16)/153</f>
        <v>4.5751633986928102E-2</v>
      </c>
      <c r="L83" s="136"/>
      <c r="M83" s="135">
        <f>(E13+E14)/153</f>
        <v>3.9215686274509803E-2</v>
      </c>
      <c r="N83" s="137"/>
      <c r="O83" s="138"/>
      <c r="P83" s="13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/>
      <c r="DM83" s="44"/>
      <c r="DN83" s="44"/>
      <c r="DO83" s="44"/>
      <c r="DP83" s="44"/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/>
      <c r="FA83" s="44"/>
      <c r="FB83" s="44"/>
      <c r="FC83" s="44"/>
      <c r="FD83" s="44"/>
      <c r="FE83" s="44"/>
      <c r="FF83" s="44"/>
      <c r="FG83" s="44"/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</row>
    <row r="84" spans="1:270" ht="15.75" customHeight="1">
      <c r="A84" s="8">
        <v>5</v>
      </c>
      <c r="B84" s="8" t="s">
        <v>128</v>
      </c>
      <c r="C84" s="9" t="s">
        <v>129</v>
      </c>
      <c r="D84" s="8" t="s">
        <v>43</v>
      </c>
      <c r="E84" s="8"/>
      <c r="F84" s="119">
        <v>2</v>
      </c>
      <c r="G84" s="12" t="s">
        <v>130</v>
      </c>
      <c r="H84" s="8"/>
      <c r="I84" s="71"/>
      <c r="J84" s="125" t="s">
        <v>29</v>
      </c>
      <c r="K84" s="135">
        <f>(E24+E26+E28+E29)/153</f>
        <v>6.535947712418301E-2</v>
      </c>
      <c r="L84" s="136"/>
      <c r="M84" s="135">
        <f>(E25+E30)/153</f>
        <v>3.2679738562091505E-2</v>
      </c>
      <c r="N84" s="139"/>
      <c r="O84" s="135"/>
      <c r="P84" s="139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44"/>
      <c r="CE84" s="44"/>
      <c r="CF84" s="44"/>
      <c r="CG84" s="44"/>
      <c r="CH84" s="44"/>
      <c r="CI84" s="44"/>
      <c r="CJ84" s="44"/>
      <c r="CK84" s="44"/>
      <c r="CL84" s="44"/>
      <c r="CM84" s="44"/>
      <c r="CN84" s="44"/>
      <c r="CO84" s="44"/>
      <c r="CP84" s="44"/>
      <c r="CQ84" s="44"/>
      <c r="CR84" s="44"/>
      <c r="CS84" s="44"/>
      <c r="CT84" s="44"/>
      <c r="CU84" s="44"/>
      <c r="CV84" s="44"/>
      <c r="CW84" s="44"/>
      <c r="CX84" s="44"/>
      <c r="CY84" s="44"/>
      <c r="CZ84" s="44"/>
      <c r="DA84" s="44"/>
      <c r="DB84" s="44"/>
      <c r="DC84" s="44"/>
      <c r="DD84" s="44"/>
      <c r="DE84" s="44"/>
      <c r="DF84" s="44"/>
      <c r="DG84" s="44"/>
      <c r="DH84" s="44"/>
      <c r="DI84" s="44"/>
      <c r="DJ84" s="44"/>
      <c r="DK84" s="44"/>
      <c r="DL84" s="44"/>
      <c r="DM84" s="44"/>
      <c r="DN84" s="44"/>
      <c r="DO84" s="44"/>
      <c r="DP84" s="44"/>
      <c r="DQ84" s="44"/>
      <c r="DR84" s="44"/>
      <c r="DS84" s="44"/>
      <c r="DT84" s="44"/>
      <c r="DU84" s="44"/>
      <c r="DV84" s="44"/>
      <c r="DW84" s="44"/>
      <c r="DX84" s="44"/>
      <c r="DY84" s="44"/>
      <c r="DZ84" s="44"/>
      <c r="EA84" s="44"/>
      <c r="EB84" s="44"/>
      <c r="EC84" s="44"/>
      <c r="ED84" s="44"/>
      <c r="EE84" s="44"/>
      <c r="EF84" s="44"/>
      <c r="EG84" s="44"/>
      <c r="EH84" s="44"/>
      <c r="EI84" s="44"/>
      <c r="EJ84" s="44"/>
      <c r="EK84" s="44"/>
      <c r="EL84" s="44"/>
      <c r="EM84" s="44"/>
      <c r="EN84" s="44"/>
      <c r="EO84" s="44"/>
      <c r="EP84" s="44"/>
      <c r="EQ84" s="44"/>
      <c r="ER84" s="44"/>
      <c r="ES84" s="44"/>
      <c r="ET84" s="44"/>
      <c r="EU84" s="44"/>
      <c r="EV84" s="44"/>
      <c r="EW84" s="44"/>
      <c r="EX84" s="44"/>
      <c r="EY84" s="44"/>
      <c r="EZ84" s="44"/>
      <c r="FA84" s="44"/>
      <c r="FB84" s="44"/>
      <c r="FC84" s="44"/>
      <c r="FD84" s="44"/>
      <c r="FE84" s="44"/>
      <c r="FF84" s="44"/>
      <c r="FG84" s="44"/>
      <c r="FH84" s="44"/>
      <c r="FI84" s="44"/>
      <c r="FJ84" s="44"/>
      <c r="FK84" s="44"/>
      <c r="FL84" s="44"/>
      <c r="FM84" s="44"/>
      <c r="FN84" s="44"/>
      <c r="FO84" s="44"/>
      <c r="FP84" s="44"/>
      <c r="FQ84" s="44"/>
      <c r="FR84" s="44"/>
      <c r="FS84" s="44"/>
      <c r="FT84" s="44"/>
      <c r="FU84" s="44"/>
      <c r="FV84" s="44"/>
      <c r="FW84" s="44"/>
      <c r="FX84" s="44"/>
      <c r="FY84" s="44"/>
      <c r="FZ84" s="44"/>
      <c r="GA84" s="44"/>
      <c r="GB84" s="44"/>
      <c r="GC84" s="44"/>
      <c r="GD84" s="44"/>
      <c r="GE84" s="44"/>
      <c r="GF84" s="44"/>
      <c r="GG84" s="44"/>
      <c r="GH84" s="44"/>
      <c r="GI84" s="44"/>
      <c r="GJ84" s="44"/>
      <c r="GK84" s="44"/>
      <c r="GL84" s="44"/>
      <c r="GM84" s="44"/>
      <c r="GN84" s="44"/>
      <c r="GO84" s="44"/>
      <c r="GP84" s="44"/>
      <c r="GQ84" s="44"/>
      <c r="GR84" s="44"/>
      <c r="GS84" s="44"/>
      <c r="GT84" s="44"/>
      <c r="GU84" s="44"/>
      <c r="GV84" s="44"/>
      <c r="GW84" s="44"/>
      <c r="GX84" s="44"/>
      <c r="GY84" s="44"/>
      <c r="GZ84" s="44"/>
      <c r="HA84" s="44"/>
      <c r="HB84" s="44"/>
      <c r="HC84" s="44"/>
      <c r="HD84" s="44"/>
      <c r="HE84" s="44"/>
      <c r="HF84" s="44"/>
      <c r="HG84" s="44"/>
      <c r="HH84" s="44"/>
      <c r="HI84" s="44"/>
      <c r="HJ84" s="44"/>
      <c r="HK84" s="44"/>
      <c r="HL84" s="44"/>
      <c r="HM84" s="44"/>
      <c r="HN84" s="44"/>
      <c r="HO84" s="44"/>
      <c r="HP84" s="44"/>
      <c r="HQ84" s="44"/>
      <c r="HR84" s="44"/>
      <c r="HS84" s="44"/>
      <c r="HT84" s="44"/>
      <c r="HU84" s="44"/>
      <c r="HV84" s="44"/>
      <c r="HW84" s="44"/>
      <c r="HX84" s="44"/>
      <c r="HY84" s="44"/>
      <c r="HZ84" s="44"/>
      <c r="IA84" s="44"/>
      <c r="IB84" s="44"/>
      <c r="IC84" s="44"/>
      <c r="ID84" s="44"/>
      <c r="IE84" s="44"/>
      <c r="IF84" s="44"/>
      <c r="IG84" s="44"/>
      <c r="IH84" s="44"/>
      <c r="II84" s="44"/>
      <c r="IJ84" s="44"/>
      <c r="IK84" s="44"/>
      <c r="IL84" s="44"/>
      <c r="IM84" s="44"/>
      <c r="IN84" s="44"/>
      <c r="IO84" s="44"/>
      <c r="IP84" s="44"/>
      <c r="IQ84" s="44"/>
      <c r="IR84" s="44"/>
      <c r="IS84" s="44"/>
      <c r="IT84" s="44"/>
      <c r="IU84" s="44"/>
      <c r="IV84" s="44"/>
      <c r="IW84" s="44"/>
      <c r="IX84" s="44"/>
      <c r="IY84" s="44"/>
      <c r="IZ84" s="44"/>
      <c r="JA84" s="44"/>
      <c r="JB84" s="44"/>
      <c r="JC84" s="44"/>
      <c r="JD84" s="44"/>
      <c r="JE84" s="44"/>
      <c r="JF84" s="44"/>
      <c r="JG84" s="44"/>
      <c r="JH84" s="44"/>
      <c r="JI84" s="44"/>
      <c r="JJ84" s="44"/>
    </row>
    <row r="85" spans="1:270" ht="15.75" customHeight="1">
      <c r="A85" s="8">
        <v>6</v>
      </c>
      <c r="B85" s="8" t="s">
        <v>131</v>
      </c>
      <c r="C85" s="9" t="s">
        <v>132</v>
      </c>
      <c r="D85" s="8" t="s">
        <v>43</v>
      </c>
      <c r="E85" s="8"/>
      <c r="F85" s="121"/>
      <c r="G85" s="12"/>
      <c r="H85" s="8"/>
      <c r="I85" s="45"/>
      <c r="J85" s="125" t="s">
        <v>51</v>
      </c>
      <c r="K85" s="140"/>
      <c r="L85" s="141"/>
      <c r="M85" s="140"/>
      <c r="N85" s="142"/>
      <c r="O85" s="142"/>
      <c r="P85" s="142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/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44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  <c r="DK85" s="44"/>
      <c r="DL85" s="44"/>
      <c r="DM85" s="44"/>
      <c r="DN85" s="44"/>
      <c r="DO85" s="44"/>
      <c r="DP85" s="44"/>
      <c r="DQ85" s="44"/>
      <c r="DR85" s="44"/>
      <c r="DS85" s="44"/>
      <c r="DT85" s="44"/>
      <c r="DU85" s="44"/>
      <c r="DV85" s="44"/>
      <c r="DW85" s="44"/>
      <c r="DX85" s="44"/>
      <c r="DY85" s="44"/>
      <c r="DZ85" s="44"/>
      <c r="EA85" s="44"/>
      <c r="EB85" s="44"/>
      <c r="EC85" s="44"/>
      <c r="ED85" s="44"/>
      <c r="EE85" s="44"/>
      <c r="EF85" s="44"/>
      <c r="EG85" s="44"/>
      <c r="EH85" s="44"/>
      <c r="EI85" s="44"/>
      <c r="EJ85" s="44"/>
      <c r="EK85" s="44"/>
      <c r="EL85" s="44"/>
      <c r="EM85" s="44"/>
      <c r="EN85" s="44"/>
      <c r="EO85" s="44"/>
      <c r="EP85" s="44"/>
      <c r="EQ85" s="44"/>
      <c r="ER85" s="44"/>
      <c r="ES85" s="44"/>
      <c r="ET85" s="44"/>
      <c r="EU85" s="44"/>
      <c r="EV85" s="44"/>
      <c r="EW85" s="44"/>
      <c r="EX85" s="44"/>
      <c r="EY85" s="44"/>
      <c r="EZ85" s="44"/>
      <c r="FA85" s="44"/>
      <c r="FB85" s="44"/>
      <c r="FC85" s="44"/>
      <c r="FD85" s="44"/>
      <c r="FE85" s="44"/>
      <c r="FF85" s="44"/>
      <c r="FG85" s="44"/>
      <c r="FH85" s="44"/>
      <c r="FI85" s="44"/>
      <c r="FJ85" s="44"/>
      <c r="FK85" s="44"/>
      <c r="FL85" s="44"/>
      <c r="FM85" s="44"/>
      <c r="FN85" s="44"/>
      <c r="FO85" s="44"/>
      <c r="FP85" s="44"/>
      <c r="FQ85" s="44"/>
      <c r="FR85" s="44"/>
      <c r="FS85" s="44"/>
      <c r="FT85" s="44"/>
      <c r="FU85" s="44"/>
      <c r="FV85" s="44"/>
      <c r="FW85" s="44"/>
      <c r="FX85" s="44"/>
      <c r="FY85" s="44"/>
      <c r="FZ85" s="44"/>
      <c r="GA85" s="44"/>
      <c r="GB85" s="44"/>
      <c r="GC85" s="44"/>
      <c r="GD85" s="44"/>
      <c r="GE85" s="44"/>
      <c r="GF85" s="44"/>
      <c r="GG85" s="44"/>
      <c r="GH85" s="44"/>
      <c r="GI85" s="44"/>
      <c r="GJ85" s="44"/>
      <c r="GK85" s="44"/>
      <c r="GL85" s="44"/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/>
      <c r="JE85" s="44"/>
      <c r="JF85" s="44"/>
      <c r="JG85" s="44"/>
      <c r="JH85" s="44"/>
      <c r="JI85" s="44"/>
      <c r="JJ85" s="44"/>
    </row>
    <row r="86" spans="1:270" ht="15.75" customHeight="1">
      <c r="A86" s="8">
        <v>7</v>
      </c>
      <c r="B86" s="8" t="s">
        <v>133</v>
      </c>
      <c r="C86" s="9" t="s">
        <v>134</v>
      </c>
      <c r="D86" s="8" t="s">
        <v>43</v>
      </c>
      <c r="E86" s="8"/>
      <c r="F86" s="121"/>
      <c r="G86" s="12"/>
      <c r="H86" s="8"/>
      <c r="I86" s="26"/>
      <c r="J86" s="125" t="s">
        <v>69</v>
      </c>
      <c r="K86" s="135">
        <f>(E48+E54+E50)/153</f>
        <v>4.5751633986928102E-2</v>
      </c>
      <c r="L86" s="136"/>
      <c r="M86" s="135">
        <f>(E51+E52+E53)/150</f>
        <v>5.3333333333333337E-2</v>
      </c>
      <c r="N86" s="143"/>
      <c r="O86" s="135"/>
      <c r="P86" s="143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/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/>
      <c r="FD86" s="44"/>
      <c r="FE86" s="44"/>
      <c r="FF86" s="44"/>
      <c r="FG86" s="44"/>
      <c r="FH86" s="44"/>
      <c r="FI86" s="44"/>
      <c r="FJ86" s="44"/>
      <c r="FK86" s="44"/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  <c r="IW86" s="44"/>
      <c r="IX86" s="44"/>
      <c r="IY86" s="44"/>
      <c r="IZ86" s="44"/>
      <c r="JA86" s="44"/>
      <c r="JB86" s="44"/>
      <c r="JC86" s="44"/>
      <c r="JD86" s="44"/>
      <c r="JE86" s="44"/>
      <c r="JF86" s="44"/>
      <c r="JG86" s="44"/>
      <c r="JH86" s="44"/>
      <c r="JI86" s="44"/>
      <c r="JJ86" s="44"/>
    </row>
    <row r="87" spans="1:270" ht="15.75" customHeight="1">
      <c r="A87" s="8">
        <v>8</v>
      </c>
      <c r="B87" s="8" t="s">
        <v>135</v>
      </c>
      <c r="C87" s="9" t="s">
        <v>136</v>
      </c>
      <c r="D87" s="8" t="s">
        <v>61</v>
      </c>
      <c r="E87" s="8"/>
      <c r="F87" s="121"/>
      <c r="G87" s="12" t="s">
        <v>109</v>
      </c>
      <c r="H87" s="8"/>
      <c r="I87" s="26"/>
      <c r="J87" s="125" t="s">
        <v>89</v>
      </c>
      <c r="K87" s="135">
        <f>E54/153</f>
        <v>1.3071895424836602E-2</v>
      </c>
      <c r="L87" s="136"/>
      <c r="M87" s="135">
        <f>(E60+E61+E62)/153</f>
        <v>5.2287581699346407E-2</v>
      </c>
      <c r="N87" s="143"/>
      <c r="O87" s="135">
        <f>E63/153</f>
        <v>1.9607843137254902E-2</v>
      </c>
      <c r="P87" s="143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</row>
    <row r="88" spans="1:270" ht="15.75" customHeight="1">
      <c r="A88" s="8">
        <v>9</v>
      </c>
      <c r="B88" s="8" t="s">
        <v>137</v>
      </c>
      <c r="C88" s="9" t="s">
        <v>138</v>
      </c>
      <c r="D88" s="8" t="s">
        <v>61</v>
      </c>
      <c r="E88" s="8"/>
      <c r="F88" s="132"/>
      <c r="G88" s="12"/>
      <c r="H88" s="8"/>
      <c r="I88" s="26"/>
      <c r="J88" s="125" t="s">
        <v>103</v>
      </c>
      <c r="K88" s="135">
        <f>E70/153</f>
        <v>1.3071895424836602E-2</v>
      </c>
      <c r="L88" s="136"/>
      <c r="M88" s="135">
        <f>(E71+E72+E73)/153</f>
        <v>5.8823529411764705E-2</v>
      </c>
      <c r="N88" s="143"/>
      <c r="O88" s="135">
        <f>E74/153</f>
        <v>1.3071895424836602E-2</v>
      </c>
      <c r="P88" s="143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44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  <c r="DK88" s="44"/>
      <c r="DL88" s="44"/>
      <c r="DM88" s="44"/>
      <c r="DN88" s="44"/>
      <c r="DO88" s="44"/>
      <c r="DP88" s="44"/>
      <c r="DQ88" s="44"/>
      <c r="DR88" s="44"/>
      <c r="DS88" s="44"/>
      <c r="DT88" s="44"/>
      <c r="DU88" s="44"/>
      <c r="DV88" s="44"/>
      <c r="DW88" s="44"/>
      <c r="DX88" s="44"/>
      <c r="DY88" s="44"/>
      <c r="DZ88" s="44"/>
      <c r="EA88" s="44"/>
      <c r="EB88" s="44"/>
      <c r="EC88" s="44"/>
      <c r="ED88" s="44"/>
      <c r="EE88" s="44"/>
      <c r="EF88" s="44"/>
      <c r="EG88" s="44"/>
      <c r="EH88" s="44"/>
      <c r="EI88" s="44"/>
      <c r="EJ88" s="44"/>
      <c r="EK88" s="44"/>
      <c r="EL88" s="44"/>
      <c r="EM88" s="44"/>
      <c r="EN88" s="44"/>
      <c r="EO88" s="44"/>
      <c r="EP88" s="44"/>
      <c r="EQ88" s="44"/>
      <c r="ER88" s="44"/>
      <c r="ES88" s="44"/>
      <c r="ET88" s="44"/>
      <c r="EU88" s="44"/>
      <c r="EV88" s="44"/>
      <c r="EW88" s="44"/>
      <c r="EX88" s="44"/>
      <c r="EY88" s="44"/>
      <c r="EZ88" s="44"/>
      <c r="FA88" s="44"/>
      <c r="FB88" s="44"/>
      <c r="FC88" s="44"/>
      <c r="FD88" s="44"/>
      <c r="FE88" s="44"/>
      <c r="FF88" s="44"/>
      <c r="FG88" s="44"/>
      <c r="FH88" s="44"/>
      <c r="FI88" s="44"/>
      <c r="FJ88" s="44"/>
      <c r="FK88" s="44"/>
      <c r="FL88" s="44"/>
      <c r="FM88" s="44"/>
      <c r="FN88" s="44"/>
      <c r="FO88" s="44"/>
      <c r="FP88" s="44"/>
      <c r="FQ88" s="44"/>
      <c r="FR88" s="44"/>
      <c r="FS88" s="44"/>
      <c r="FT88" s="44"/>
      <c r="FU88" s="44"/>
      <c r="FV88" s="44"/>
      <c r="FW88" s="44"/>
      <c r="FX88" s="44"/>
      <c r="FY88" s="44"/>
      <c r="FZ88" s="44"/>
      <c r="GA88" s="44"/>
      <c r="GB88" s="44"/>
      <c r="GC88" s="44"/>
      <c r="GD88" s="44"/>
      <c r="GE88" s="44"/>
      <c r="GF88" s="44"/>
      <c r="GG88" s="44"/>
      <c r="GH88" s="44"/>
      <c r="GI88" s="44"/>
      <c r="GJ88" s="44"/>
      <c r="GK88" s="44"/>
      <c r="GL88" s="44"/>
      <c r="GM88" s="44"/>
      <c r="GN88" s="44"/>
      <c r="GO88" s="44"/>
      <c r="GP88" s="44"/>
      <c r="GQ88" s="44"/>
      <c r="GR88" s="44"/>
      <c r="GS88" s="44"/>
      <c r="GT88" s="44"/>
      <c r="GU88" s="44"/>
      <c r="GV88" s="44"/>
      <c r="GW88" s="44"/>
      <c r="GX88" s="44"/>
      <c r="GY88" s="44"/>
      <c r="GZ88" s="44"/>
      <c r="HA88" s="44"/>
      <c r="HB88" s="44"/>
      <c r="HC88" s="44"/>
      <c r="HD88" s="44"/>
      <c r="HE88" s="44"/>
      <c r="HF88" s="44"/>
      <c r="HG88" s="44"/>
      <c r="HH88" s="44"/>
      <c r="HI88" s="44"/>
      <c r="HJ88" s="44"/>
      <c r="HK88" s="44"/>
      <c r="HL88" s="44"/>
      <c r="HM88" s="44"/>
      <c r="HN88" s="44"/>
      <c r="HO88" s="44"/>
      <c r="HP88" s="44"/>
      <c r="HQ88" s="44"/>
      <c r="HR88" s="44"/>
      <c r="HS88" s="44"/>
      <c r="HT88" s="44"/>
      <c r="HU88" s="44"/>
      <c r="HV88" s="44"/>
      <c r="HW88" s="44"/>
      <c r="HX88" s="44"/>
      <c r="HY88" s="44"/>
      <c r="HZ88" s="44"/>
      <c r="IA88" s="44"/>
      <c r="IB88" s="44"/>
      <c r="IC88" s="44"/>
      <c r="ID88" s="44"/>
      <c r="IE88" s="44"/>
      <c r="IF88" s="44"/>
      <c r="IG88" s="44"/>
      <c r="IH88" s="44"/>
      <c r="II88" s="44"/>
      <c r="IJ88" s="44"/>
      <c r="IK88" s="44"/>
      <c r="IL88" s="44"/>
      <c r="IM88" s="44"/>
      <c r="IN88" s="44"/>
      <c r="IO88" s="44"/>
      <c r="IP88" s="44"/>
      <c r="IQ88" s="44"/>
      <c r="IR88" s="44"/>
      <c r="IS88" s="44"/>
      <c r="IT88" s="44"/>
      <c r="IU88" s="44"/>
      <c r="IV88" s="44"/>
      <c r="IW88" s="44"/>
      <c r="IX88" s="44"/>
      <c r="IY88" s="44"/>
      <c r="IZ88" s="44"/>
      <c r="JA88" s="44"/>
      <c r="JB88" s="44"/>
      <c r="JC88" s="44"/>
      <c r="JD88" s="44"/>
      <c r="JE88" s="44"/>
      <c r="JF88" s="44"/>
      <c r="JG88" s="44"/>
      <c r="JH88" s="44"/>
      <c r="JI88" s="44"/>
      <c r="JJ88" s="44"/>
    </row>
    <row r="89" spans="1:270" ht="15.75" customHeight="1">
      <c r="A89" s="19">
        <v>10</v>
      </c>
      <c r="B89" s="19" t="s">
        <v>139</v>
      </c>
      <c r="C89" s="20" t="s">
        <v>140</v>
      </c>
      <c r="D89" s="19" t="s">
        <v>43</v>
      </c>
      <c r="E89" s="59"/>
      <c r="F89" s="121">
        <v>2</v>
      </c>
      <c r="G89" s="48"/>
      <c r="H89" s="14"/>
      <c r="I89" s="26"/>
      <c r="J89" s="125" t="s">
        <v>117</v>
      </c>
      <c r="K89" s="135"/>
      <c r="L89" s="135"/>
      <c r="M89" s="135">
        <f>E83/153</f>
        <v>1.3071895424836602E-2</v>
      </c>
      <c r="N89" s="135">
        <f>E83/153</f>
        <v>1.3071895424836602E-2</v>
      </c>
      <c r="O89" s="135">
        <f>(E80+E81+E82)/153</f>
        <v>4.5751633986928102E-2</v>
      </c>
      <c r="P89" s="135">
        <f>F89/153</f>
        <v>1.3071895424836602E-2</v>
      </c>
      <c r="Q89" s="72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  <c r="CF89" s="41"/>
      <c r="CG89" s="41"/>
      <c r="CH89" s="41"/>
      <c r="CI89" s="41"/>
      <c r="CJ89" s="41"/>
      <c r="CK89" s="41"/>
      <c r="CL89" s="41"/>
      <c r="CM89" s="41"/>
      <c r="CN89" s="41"/>
      <c r="CO89" s="41"/>
      <c r="CP89" s="41"/>
      <c r="CQ89" s="41"/>
      <c r="CR89" s="41"/>
      <c r="CS89" s="41"/>
      <c r="CT89" s="41"/>
      <c r="CU89" s="41"/>
      <c r="CV89" s="41"/>
      <c r="CW89" s="41"/>
      <c r="CX89" s="41"/>
      <c r="CY89" s="41"/>
      <c r="CZ89" s="41"/>
      <c r="DA89" s="41"/>
      <c r="DB89" s="41"/>
      <c r="DC89" s="41"/>
      <c r="DD89" s="41"/>
      <c r="DE89" s="41"/>
      <c r="DF89" s="41"/>
      <c r="DG89" s="41"/>
      <c r="DH89" s="41"/>
      <c r="DI89" s="41"/>
      <c r="DJ89" s="41"/>
      <c r="DK89" s="41"/>
      <c r="DL89" s="41"/>
      <c r="DM89" s="41"/>
      <c r="DN89" s="41"/>
      <c r="DO89" s="41"/>
      <c r="DP89" s="41"/>
      <c r="DQ89" s="41"/>
      <c r="DR89" s="41"/>
      <c r="DS89" s="41"/>
      <c r="DT89" s="41"/>
      <c r="DU89" s="41"/>
      <c r="DV89" s="41"/>
      <c r="DW89" s="41"/>
      <c r="DX89" s="41"/>
      <c r="DY89" s="41"/>
      <c r="DZ89" s="41"/>
      <c r="EA89" s="41"/>
      <c r="EB89" s="41"/>
      <c r="EC89" s="41"/>
      <c r="ED89" s="41"/>
      <c r="EE89" s="41"/>
      <c r="EF89" s="41"/>
      <c r="EG89" s="41"/>
      <c r="EH89" s="41"/>
      <c r="EI89" s="41"/>
      <c r="EJ89" s="41"/>
      <c r="EK89" s="41"/>
      <c r="EL89" s="41"/>
      <c r="EM89" s="41"/>
      <c r="EN89" s="41"/>
      <c r="EO89" s="41"/>
      <c r="EP89" s="41"/>
      <c r="EQ89" s="41"/>
      <c r="ER89" s="41"/>
      <c r="ES89" s="41"/>
      <c r="ET89" s="41"/>
      <c r="EU89" s="41"/>
      <c r="EV89" s="41"/>
      <c r="EW89" s="41"/>
      <c r="EX89" s="41"/>
      <c r="EY89" s="41"/>
      <c r="EZ89" s="41"/>
      <c r="FA89" s="41"/>
      <c r="FB89" s="41"/>
      <c r="FC89" s="41"/>
      <c r="FD89" s="41"/>
      <c r="FE89" s="41"/>
      <c r="FF89" s="41"/>
      <c r="FG89" s="41"/>
      <c r="FH89" s="41"/>
      <c r="FI89" s="41"/>
      <c r="FJ89" s="41"/>
      <c r="FK89" s="41"/>
      <c r="FL89" s="41"/>
      <c r="FM89" s="41"/>
      <c r="FN89" s="41"/>
      <c r="FO89" s="41"/>
      <c r="FP89" s="41"/>
      <c r="FQ89" s="41"/>
      <c r="FR89" s="41"/>
      <c r="FS89" s="41"/>
      <c r="FT89" s="41"/>
      <c r="FU89" s="41"/>
      <c r="FV89" s="41"/>
      <c r="FW89" s="41"/>
      <c r="FX89" s="41"/>
      <c r="FY89" s="41"/>
      <c r="FZ89" s="41"/>
      <c r="GA89" s="41"/>
      <c r="GB89" s="41"/>
      <c r="GC89" s="41"/>
      <c r="GD89" s="41"/>
      <c r="GE89" s="41"/>
      <c r="GF89" s="41"/>
      <c r="GG89" s="41"/>
      <c r="GH89" s="41"/>
      <c r="GI89" s="41"/>
      <c r="GJ89" s="41"/>
      <c r="GK89" s="41"/>
      <c r="GL89" s="41"/>
      <c r="GM89" s="41"/>
      <c r="GN89" s="41"/>
      <c r="GO89" s="41"/>
      <c r="GP89" s="41"/>
      <c r="GQ89" s="41"/>
      <c r="GR89" s="41"/>
      <c r="GS89" s="41"/>
      <c r="GT89" s="41"/>
      <c r="GU89" s="41"/>
      <c r="GV89" s="41"/>
      <c r="GW89" s="41"/>
      <c r="GX89" s="41"/>
      <c r="GY89" s="41"/>
      <c r="GZ89" s="41"/>
      <c r="HA89" s="41"/>
      <c r="HB89" s="41"/>
      <c r="HC89" s="41"/>
      <c r="HD89" s="41"/>
      <c r="HE89" s="41"/>
      <c r="HF89" s="41"/>
      <c r="HG89" s="41"/>
      <c r="HH89" s="41"/>
      <c r="HI89" s="41"/>
      <c r="HJ89" s="41"/>
      <c r="HK89" s="41"/>
      <c r="HL89" s="41"/>
      <c r="HM89" s="41"/>
      <c r="HN89" s="41"/>
      <c r="HO89" s="41"/>
      <c r="HP89" s="41"/>
      <c r="HQ89" s="41"/>
      <c r="HR89" s="41"/>
      <c r="HS89" s="41"/>
      <c r="HT89" s="41"/>
      <c r="HU89" s="41"/>
      <c r="HV89" s="41"/>
      <c r="HW89" s="41"/>
      <c r="HX89" s="41"/>
      <c r="HY89" s="41"/>
      <c r="HZ89" s="41"/>
      <c r="IA89" s="41"/>
      <c r="IB89" s="41"/>
      <c r="IC89" s="41"/>
      <c r="ID89" s="41"/>
      <c r="IE89" s="41"/>
      <c r="IF89" s="41"/>
      <c r="IG89" s="41"/>
      <c r="IH89" s="41"/>
      <c r="II89" s="41"/>
      <c r="IJ89" s="41"/>
      <c r="IK89" s="41"/>
      <c r="IL89" s="41"/>
      <c r="IM89" s="41"/>
      <c r="IN89" s="41"/>
      <c r="IO89" s="41"/>
      <c r="IP89" s="41"/>
      <c r="IQ89" s="41"/>
      <c r="IR89" s="41"/>
      <c r="IS89" s="41"/>
      <c r="IT89" s="41"/>
      <c r="IU89" s="41"/>
      <c r="IV89" s="41"/>
      <c r="IW89" s="4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</row>
    <row r="90" spans="1:270" ht="15.75" customHeight="1">
      <c r="A90" s="19">
        <v>11</v>
      </c>
      <c r="B90" s="19" t="s">
        <v>141</v>
      </c>
      <c r="C90" s="20" t="s">
        <v>142</v>
      </c>
      <c r="D90" s="19" t="s">
        <v>43</v>
      </c>
      <c r="E90" s="59"/>
      <c r="F90" s="122"/>
      <c r="G90" s="48"/>
      <c r="H90" s="14"/>
      <c r="I90" s="26"/>
      <c r="J90" s="125" t="s">
        <v>144</v>
      </c>
      <c r="K90" s="135"/>
      <c r="L90" s="135"/>
      <c r="M90" s="135">
        <f>E97/153</f>
        <v>1.3071895424836602E-2</v>
      </c>
      <c r="N90" s="135"/>
      <c r="O90" s="135">
        <f>(E96+E98+E99+E100)/153</f>
        <v>6.535947712418301E-2</v>
      </c>
      <c r="P90" s="135"/>
      <c r="Q90" s="72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  <c r="CF90" s="41"/>
      <c r="CG90" s="41"/>
      <c r="CH90" s="41"/>
      <c r="CI90" s="41"/>
      <c r="CJ90" s="41"/>
      <c r="CK90" s="41"/>
      <c r="CL90" s="41"/>
      <c r="CM90" s="41"/>
      <c r="CN90" s="41"/>
      <c r="CO90" s="41"/>
      <c r="CP90" s="41"/>
      <c r="CQ90" s="41"/>
      <c r="CR90" s="41"/>
      <c r="CS90" s="41"/>
      <c r="CT90" s="41"/>
      <c r="CU90" s="41"/>
      <c r="CV90" s="41"/>
      <c r="CW90" s="41"/>
      <c r="CX90" s="41"/>
      <c r="CY90" s="41"/>
      <c r="CZ90" s="41"/>
      <c r="DA90" s="41"/>
      <c r="DB90" s="41"/>
      <c r="DC90" s="41"/>
      <c r="DD90" s="41"/>
      <c r="DE90" s="41"/>
      <c r="DF90" s="41"/>
      <c r="DG90" s="41"/>
      <c r="DH90" s="41"/>
      <c r="DI90" s="41"/>
      <c r="DJ90" s="41"/>
      <c r="DK90" s="41"/>
      <c r="DL90" s="41"/>
      <c r="DM90" s="41"/>
      <c r="DN90" s="41"/>
      <c r="DO90" s="41"/>
      <c r="DP90" s="41"/>
      <c r="DQ90" s="41"/>
      <c r="DR90" s="41"/>
      <c r="DS90" s="41"/>
      <c r="DT90" s="41"/>
      <c r="DU90" s="41"/>
      <c r="DV90" s="41"/>
      <c r="DW90" s="41"/>
      <c r="DX90" s="41"/>
      <c r="DY90" s="41"/>
      <c r="DZ90" s="41"/>
      <c r="EA90" s="41"/>
      <c r="EB90" s="41"/>
      <c r="EC90" s="41"/>
      <c r="ED90" s="41"/>
      <c r="EE90" s="41"/>
      <c r="EF90" s="41"/>
      <c r="EG90" s="41"/>
      <c r="EH90" s="41"/>
      <c r="EI90" s="41"/>
      <c r="EJ90" s="41"/>
      <c r="EK90" s="41"/>
      <c r="EL90" s="41"/>
      <c r="EM90" s="41"/>
      <c r="EN90" s="41"/>
      <c r="EO90" s="41"/>
      <c r="EP90" s="41"/>
      <c r="EQ90" s="41"/>
      <c r="ER90" s="41"/>
      <c r="ES90" s="41"/>
      <c r="ET90" s="41"/>
      <c r="EU90" s="41"/>
      <c r="EV90" s="41"/>
      <c r="EW90" s="41"/>
      <c r="EX90" s="41"/>
      <c r="EY90" s="41"/>
      <c r="EZ90" s="41"/>
      <c r="FA90" s="41"/>
      <c r="FB90" s="41"/>
      <c r="FC90" s="41"/>
      <c r="FD90" s="41"/>
      <c r="FE90" s="41"/>
      <c r="FF90" s="41"/>
      <c r="FG90" s="41"/>
      <c r="FH90" s="41"/>
      <c r="FI90" s="41"/>
      <c r="FJ90" s="41"/>
      <c r="FK90" s="41"/>
      <c r="FL90" s="41"/>
      <c r="FM90" s="41"/>
      <c r="FN90" s="41"/>
      <c r="FO90" s="41"/>
      <c r="FP90" s="41"/>
      <c r="FQ90" s="41"/>
      <c r="FR90" s="41"/>
      <c r="FS90" s="41"/>
      <c r="FT90" s="41"/>
      <c r="FU90" s="41"/>
      <c r="FV90" s="41"/>
      <c r="FW90" s="41"/>
      <c r="FX90" s="41"/>
      <c r="FY90" s="41"/>
      <c r="FZ90" s="41"/>
      <c r="GA90" s="41"/>
      <c r="GB90" s="41"/>
      <c r="GC90" s="41"/>
      <c r="GD90" s="41"/>
      <c r="GE90" s="41"/>
      <c r="GF90" s="41"/>
      <c r="GG90" s="41"/>
      <c r="GH90" s="41"/>
      <c r="GI90" s="41"/>
      <c r="GJ90" s="41"/>
      <c r="GK90" s="41"/>
      <c r="GL90" s="41"/>
      <c r="GM90" s="41"/>
      <c r="GN90" s="41"/>
      <c r="GO90" s="41"/>
      <c r="GP90" s="41"/>
      <c r="GQ90" s="41"/>
      <c r="GR90" s="41"/>
      <c r="GS90" s="41"/>
      <c r="GT90" s="41"/>
      <c r="GU90" s="41"/>
      <c r="GV90" s="41"/>
      <c r="GW90" s="41"/>
      <c r="GX90" s="41"/>
      <c r="GY90" s="41"/>
      <c r="GZ90" s="41"/>
      <c r="HA90" s="41"/>
      <c r="HB90" s="41"/>
      <c r="HC90" s="41"/>
      <c r="HD90" s="41"/>
      <c r="HE90" s="41"/>
      <c r="HF90" s="41"/>
      <c r="HG90" s="41"/>
      <c r="HH90" s="41"/>
      <c r="HI90" s="41"/>
      <c r="HJ90" s="41"/>
      <c r="HK90" s="41"/>
      <c r="HL90" s="41"/>
      <c r="HM90" s="41"/>
      <c r="HN90" s="41"/>
      <c r="HO90" s="41"/>
      <c r="HP90" s="41"/>
      <c r="HQ90" s="41"/>
      <c r="HR90" s="41"/>
      <c r="HS90" s="41"/>
      <c r="HT90" s="41"/>
      <c r="HU90" s="41"/>
      <c r="HV90" s="41"/>
      <c r="HW90" s="41"/>
      <c r="HX90" s="41"/>
      <c r="HY90" s="41"/>
      <c r="HZ90" s="41"/>
      <c r="IA90" s="41"/>
      <c r="IB90" s="41"/>
      <c r="IC90" s="41"/>
      <c r="ID90" s="41"/>
      <c r="IE90" s="41"/>
      <c r="IF90" s="41"/>
      <c r="IG90" s="41"/>
      <c r="IH90" s="41"/>
      <c r="II90" s="41"/>
      <c r="IJ90" s="41"/>
      <c r="IK90" s="41"/>
      <c r="IL90" s="41"/>
      <c r="IM90" s="41"/>
      <c r="IN90" s="41"/>
      <c r="IO90" s="41"/>
      <c r="IP90" s="41"/>
      <c r="IQ90" s="41"/>
      <c r="IR90" s="41"/>
      <c r="IS90" s="41"/>
      <c r="IT90" s="41"/>
      <c r="IU90" s="41"/>
      <c r="IV90" s="41"/>
      <c r="IW90" s="4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</row>
    <row r="91" spans="1:270" ht="15.75" customHeight="1">
      <c r="A91" s="48"/>
      <c r="B91" s="14"/>
      <c r="C91" s="14" t="s">
        <v>27</v>
      </c>
      <c r="D91" s="14"/>
      <c r="E91" s="59">
        <v>9</v>
      </c>
      <c r="F91" s="14">
        <v>4</v>
      </c>
      <c r="G91" s="48"/>
      <c r="H91" s="14">
        <f>SUM(E91:F91)</f>
        <v>13</v>
      </c>
      <c r="I91" s="26"/>
      <c r="J91" s="125" t="s">
        <v>156</v>
      </c>
      <c r="K91" s="135"/>
      <c r="L91" s="135"/>
      <c r="M91" s="135"/>
      <c r="N91" s="135"/>
      <c r="O91" s="135">
        <f>(E107+E108)/153</f>
        <v>2.6143790849673203E-2</v>
      </c>
      <c r="P91" s="135">
        <f>F109/153</f>
        <v>5.8823529411764705E-2</v>
      </c>
      <c r="Q91" s="72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  <c r="AH91" s="110"/>
      <c r="AI91" s="110"/>
      <c r="AJ91" s="110"/>
      <c r="AK91" s="110"/>
      <c r="AL91" s="110"/>
      <c r="AM91" s="110"/>
      <c r="AN91" s="110"/>
      <c r="AO91" s="110"/>
      <c r="AP91" s="110"/>
      <c r="AQ91" s="110"/>
      <c r="AR91" s="110"/>
      <c r="AS91" s="110"/>
      <c r="AT91" s="110"/>
      <c r="AU91" s="110"/>
      <c r="AV91" s="110"/>
      <c r="AW91" s="110"/>
      <c r="AX91" s="110"/>
      <c r="AY91" s="110"/>
      <c r="AZ91" s="110"/>
      <c r="BA91" s="110"/>
      <c r="BB91" s="110"/>
      <c r="BC91" s="110"/>
      <c r="BD91" s="110"/>
      <c r="BE91" s="110"/>
      <c r="BF91" s="110"/>
      <c r="BG91" s="110"/>
      <c r="BH91" s="110"/>
      <c r="BI91" s="110"/>
      <c r="BJ91" s="110"/>
      <c r="BK91" s="110"/>
      <c r="BL91" s="110"/>
      <c r="BM91" s="110"/>
      <c r="BN91" s="110"/>
      <c r="BO91" s="110"/>
      <c r="BP91" s="110"/>
      <c r="BQ91" s="110"/>
      <c r="BR91" s="110"/>
      <c r="BS91" s="110"/>
      <c r="BT91" s="110"/>
      <c r="BU91" s="110"/>
      <c r="BV91" s="110"/>
      <c r="BW91" s="110"/>
      <c r="BX91" s="110"/>
      <c r="BY91" s="110"/>
      <c r="BZ91" s="110"/>
      <c r="CA91" s="110"/>
      <c r="CB91" s="110"/>
      <c r="CC91" s="110"/>
      <c r="CD91" s="110"/>
      <c r="CE91" s="110"/>
      <c r="CF91" s="110"/>
      <c r="CG91" s="110"/>
      <c r="CH91" s="110"/>
      <c r="CI91" s="110"/>
      <c r="CJ91" s="110"/>
      <c r="CK91" s="110"/>
      <c r="CL91" s="110"/>
      <c r="CM91" s="110"/>
      <c r="CN91" s="110"/>
      <c r="CO91" s="110"/>
      <c r="CP91" s="110"/>
      <c r="CQ91" s="110"/>
      <c r="CR91" s="110"/>
      <c r="CS91" s="110"/>
      <c r="CT91" s="110"/>
      <c r="CU91" s="110"/>
      <c r="CV91" s="110"/>
      <c r="CW91" s="110"/>
      <c r="CX91" s="110"/>
      <c r="CY91" s="110"/>
      <c r="CZ91" s="110"/>
      <c r="DA91" s="110"/>
      <c r="DB91" s="110"/>
      <c r="DC91" s="110"/>
      <c r="DD91" s="110"/>
      <c r="DE91" s="110"/>
      <c r="DF91" s="110"/>
      <c r="DG91" s="110"/>
      <c r="DH91" s="110"/>
      <c r="DI91" s="110"/>
      <c r="DJ91" s="110"/>
      <c r="DK91" s="110"/>
      <c r="DL91" s="110"/>
      <c r="DM91" s="110"/>
      <c r="DN91" s="110"/>
      <c r="DO91" s="110"/>
      <c r="DP91" s="110"/>
      <c r="DQ91" s="110"/>
      <c r="DR91" s="110"/>
      <c r="DS91" s="110"/>
      <c r="DT91" s="110"/>
      <c r="DU91" s="110"/>
      <c r="DV91" s="110"/>
      <c r="DW91" s="110"/>
      <c r="DX91" s="110"/>
      <c r="DY91" s="110"/>
      <c r="DZ91" s="110"/>
      <c r="EA91" s="110"/>
      <c r="EB91" s="110"/>
      <c r="EC91" s="110"/>
      <c r="ED91" s="110"/>
      <c r="EE91" s="110"/>
      <c r="EF91" s="110"/>
      <c r="EG91" s="110"/>
      <c r="EH91" s="110"/>
      <c r="EI91" s="110"/>
      <c r="EJ91" s="110"/>
      <c r="EK91" s="110"/>
      <c r="EL91" s="110"/>
      <c r="EM91" s="110"/>
      <c r="EN91" s="110"/>
      <c r="EO91" s="110"/>
      <c r="EP91" s="110"/>
      <c r="EQ91" s="110"/>
      <c r="ER91" s="110"/>
      <c r="ES91" s="110"/>
      <c r="ET91" s="110"/>
      <c r="EU91" s="110"/>
      <c r="EV91" s="110"/>
      <c r="EW91" s="110"/>
      <c r="EX91" s="110"/>
      <c r="EY91" s="110"/>
      <c r="EZ91" s="110"/>
      <c r="FA91" s="110"/>
      <c r="FB91" s="110"/>
      <c r="FC91" s="110"/>
      <c r="FD91" s="110"/>
      <c r="FE91" s="110"/>
      <c r="FF91" s="110"/>
      <c r="FG91" s="110"/>
      <c r="FH91" s="110"/>
      <c r="FI91" s="110"/>
      <c r="FJ91" s="110"/>
      <c r="FK91" s="110"/>
      <c r="FL91" s="110"/>
      <c r="FM91" s="110"/>
      <c r="FN91" s="110"/>
      <c r="FO91" s="110"/>
      <c r="FP91" s="110"/>
      <c r="FQ91" s="110"/>
      <c r="FR91" s="110"/>
      <c r="FS91" s="110"/>
      <c r="FT91" s="110"/>
      <c r="FU91" s="110"/>
      <c r="FV91" s="110"/>
      <c r="FW91" s="110"/>
      <c r="FX91" s="110"/>
      <c r="FY91" s="110"/>
      <c r="FZ91" s="110"/>
      <c r="GA91" s="110"/>
      <c r="GB91" s="110"/>
      <c r="GC91" s="110"/>
      <c r="GD91" s="110"/>
      <c r="GE91" s="110"/>
      <c r="GF91" s="110"/>
      <c r="GG91" s="110"/>
      <c r="GH91" s="110"/>
      <c r="GI91" s="110"/>
      <c r="GJ91" s="110"/>
      <c r="GK91" s="110"/>
      <c r="GL91" s="110"/>
      <c r="GM91" s="110"/>
      <c r="GN91" s="110"/>
      <c r="GO91" s="110"/>
      <c r="GP91" s="110"/>
      <c r="GQ91" s="110"/>
      <c r="GR91" s="110"/>
      <c r="GS91" s="110"/>
      <c r="GT91" s="110"/>
      <c r="GU91" s="110"/>
      <c r="GV91" s="110"/>
      <c r="GW91" s="110"/>
      <c r="GX91" s="110"/>
      <c r="GY91" s="110"/>
      <c r="GZ91" s="110"/>
      <c r="HA91" s="110"/>
      <c r="HB91" s="110"/>
      <c r="HC91" s="110"/>
      <c r="HD91" s="110"/>
      <c r="HE91" s="110"/>
      <c r="HF91" s="110"/>
      <c r="HG91" s="110"/>
      <c r="HH91" s="110"/>
      <c r="HI91" s="110"/>
      <c r="HJ91" s="110"/>
      <c r="HK91" s="110"/>
      <c r="HL91" s="110"/>
      <c r="HM91" s="110"/>
      <c r="HN91" s="110"/>
      <c r="HO91" s="110"/>
      <c r="HP91" s="110"/>
      <c r="HQ91" s="110"/>
      <c r="HR91" s="110"/>
      <c r="HS91" s="110"/>
      <c r="HT91" s="110"/>
      <c r="HU91" s="110"/>
      <c r="HV91" s="110"/>
      <c r="HW91" s="110"/>
      <c r="HX91" s="110"/>
      <c r="HY91" s="110"/>
      <c r="HZ91" s="110"/>
      <c r="IA91" s="110"/>
      <c r="IB91" s="110"/>
      <c r="IC91" s="110"/>
      <c r="ID91" s="110"/>
      <c r="IE91" s="110"/>
      <c r="IF91" s="110"/>
      <c r="IG91" s="110"/>
      <c r="IH91" s="110"/>
      <c r="II91" s="110"/>
      <c r="IJ91" s="110"/>
      <c r="IK91" s="110"/>
      <c r="IL91" s="110"/>
      <c r="IM91" s="110"/>
      <c r="IN91" s="110"/>
      <c r="IO91" s="110"/>
      <c r="IP91" s="110" t="e">
        <v>#REF!</v>
      </c>
      <c r="IQ91" s="110"/>
      <c r="IR91" s="110"/>
      <c r="IS91" s="110"/>
      <c r="IT91" s="110"/>
      <c r="IU91" s="110"/>
      <c r="IV91" s="110"/>
      <c r="IW91" s="110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</row>
    <row r="92" spans="1:270" ht="15.75" customHeight="1">
      <c r="A92" s="50"/>
      <c r="B92" s="26"/>
      <c r="C92" s="27"/>
      <c r="D92" s="26"/>
      <c r="E92" s="26"/>
      <c r="F92" s="26"/>
      <c r="G92" s="38"/>
      <c r="H92" s="26"/>
      <c r="I92" s="26"/>
      <c r="J92" s="125" t="s">
        <v>179</v>
      </c>
      <c r="K92" s="135"/>
      <c r="L92" s="135"/>
      <c r="M92" s="135"/>
      <c r="N92" s="135"/>
      <c r="O92" s="135">
        <f>SUM(E121:E125)/153</f>
        <v>7.8431372549019607E-2</v>
      </c>
      <c r="P92" s="135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</row>
    <row r="93" spans="1:270" ht="15.75" customHeight="1">
      <c r="A93" s="106" t="s">
        <v>143</v>
      </c>
      <c r="B93" s="107"/>
      <c r="C93" s="107"/>
      <c r="D93" s="107"/>
      <c r="E93" s="107"/>
      <c r="F93" s="107"/>
      <c r="G93" s="107"/>
      <c r="H93" s="108"/>
      <c r="I93" s="26"/>
      <c r="J93" s="125" t="s">
        <v>193</v>
      </c>
      <c r="K93" s="135"/>
      <c r="L93" s="135"/>
      <c r="M93" s="135"/>
      <c r="N93" s="135">
        <f>F135/153</f>
        <v>1.3071895424836602E-2</v>
      </c>
      <c r="O93" s="135">
        <f>SUM(E131:E134)/153</f>
        <v>6.535947712418301E-2</v>
      </c>
      <c r="P93" s="135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</row>
    <row r="94" spans="1:270" ht="15.75" customHeight="1">
      <c r="A94" s="109" t="s">
        <v>144</v>
      </c>
      <c r="B94" s="107"/>
      <c r="C94" s="107"/>
      <c r="D94" s="107"/>
      <c r="E94" s="107"/>
      <c r="F94" s="107"/>
      <c r="G94" s="107"/>
      <c r="H94" s="108"/>
      <c r="I94" s="17"/>
      <c r="J94" s="125" t="s">
        <v>210</v>
      </c>
      <c r="K94" s="135"/>
      <c r="L94" s="135"/>
      <c r="M94" s="135"/>
      <c r="N94" s="135"/>
      <c r="O94" s="135"/>
      <c r="P94" s="135">
        <f>F149/153</f>
        <v>6.535947712418301E-2</v>
      </c>
      <c r="Q94" s="17"/>
      <c r="R94" s="47"/>
      <c r="S94" s="17"/>
      <c r="T94" s="69"/>
      <c r="U94" s="17"/>
      <c r="V94" s="17"/>
      <c r="W94" s="17"/>
      <c r="X94" s="47"/>
      <c r="Y94" s="17"/>
      <c r="Z94" s="69"/>
      <c r="AA94" s="17"/>
      <c r="AB94" s="17"/>
      <c r="AC94" s="17"/>
      <c r="AD94" s="47"/>
      <c r="AE94" s="17"/>
      <c r="AF94" s="69"/>
      <c r="AG94" s="17"/>
      <c r="AH94" s="17"/>
      <c r="AI94" s="17"/>
      <c r="AJ94" s="47"/>
      <c r="AK94" s="17"/>
      <c r="AL94" s="69"/>
      <c r="AM94" s="17"/>
      <c r="AN94" s="17"/>
      <c r="AO94" s="17"/>
      <c r="AP94" s="47"/>
      <c r="AQ94" s="17"/>
      <c r="AR94" s="69"/>
      <c r="AS94" s="17"/>
      <c r="AT94" s="17"/>
      <c r="AU94" s="17"/>
      <c r="AV94" s="47"/>
      <c r="AW94" s="17"/>
      <c r="AX94" s="69"/>
      <c r="AY94" s="17"/>
      <c r="AZ94" s="17"/>
      <c r="BA94" s="17"/>
      <c r="BB94" s="47"/>
      <c r="BC94" s="17"/>
      <c r="BD94" s="69"/>
      <c r="BE94" s="17"/>
      <c r="BF94" s="36"/>
      <c r="BG94" s="36"/>
      <c r="BH94" s="37"/>
      <c r="BI94" s="36"/>
      <c r="BJ94" s="24"/>
      <c r="BK94" s="25"/>
      <c r="BL94" s="36"/>
      <c r="BM94" s="36"/>
      <c r="BN94" s="37"/>
      <c r="BO94" s="36"/>
      <c r="BP94" s="24"/>
      <c r="BQ94" s="25"/>
      <c r="BR94" s="36"/>
      <c r="BS94" s="36"/>
      <c r="BT94" s="37"/>
      <c r="BU94" s="36"/>
      <c r="BV94" s="24"/>
      <c r="BW94" s="25"/>
      <c r="BX94" s="36"/>
      <c r="BY94" s="36"/>
      <c r="BZ94" s="37"/>
      <c r="CA94" s="36"/>
      <c r="CB94" s="24"/>
      <c r="CC94" s="25"/>
      <c r="CD94" s="36"/>
      <c r="CE94" s="36"/>
      <c r="CF94" s="37"/>
      <c r="CG94" s="36"/>
      <c r="CH94" s="24"/>
      <c r="CI94" s="25"/>
      <c r="CJ94" s="36"/>
      <c r="CK94" s="36"/>
      <c r="CL94" s="37"/>
      <c r="CM94" s="36"/>
      <c r="CN94" s="24"/>
      <c r="CO94" s="25"/>
      <c r="CP94" s="36"/>
      <c r="CQ94" s="36"/>
      <c r="CR94" s="37"/>
      <c r="CS94" s="36"/>
      <c r="CT94" s="24"/>
      <c r="CU94" s="25"/>
      <c r="CV94" s="36"/>
      <c r="CW94" s="36"/>
      <c r="CX94" s="37"/>
      <c r="CY94" s="36"/>
      <c r="CZ94" s="24"/>
      <c r="DA94" s="25"/>
      <c r="DB94" s="36"/>
      <c r="DC94" s="36"/>
      <c r="DD94" s="37"/>
      <c r="DE94" s="36"/>
      <c r="DF94" s="24"/>
      <c r="DG94" s="25"/>
      <c r="DH94" s="36"/>
      <c r="DI94" s="36"/>
      <c r="DJ94" s="37"/>
      <c r="DK94" s="36"/>
      <c r="DL94" s="24"/>
      <c r="DM94" s="25"/>
      <c r="DN94" s="36"/>
      <c r="DO94" s="36"/>
      <c r="DP94" s="37"/>
      <c r="DQ94" s="36"/>
      <c r="DR94" s="24"/>
      <c r="DS94" s="25"/>
      <c r="DT94" s="36"/>
      <c r="DU94" s="36"/>
      <c r="DV94" s="37"/>
      <c r="DW94" s="36"/>
      <c r="DX94" s="24"/>
      <c r="DY94" s="25"/>
      <c r="DZ94" s="36"/>
      <c r="EA94" s="36"/>
      <c r="EB94" s="37"/>
      <c r="EC94" s="36"/>
      <c r="ED94" s="24"/>
      <c r="EE94" s="25"/>
      <c r="EF94" s="36"/>
      <c r="EG94" s="36"/>
      <c r="EH94" s="37"/>
      <c r="EI94" s="36"/>
      <c r="EJ94" s="24"/>
      <c r="EK94" s="25"/>
      <c r="EL94" s="36"/>
      <c r="EM94" s="36"/>
      <c r="EN94" s="37"/>
      <c r="EO94" s="36"/>
      <c r="EP94" s="24"/>
      <c r="EQ94" s="25"/>
      <c r="ER94" s="36"/>
      <c r="ES94" s="36"/>
      <c r="ET94" s="37"/>
      <c r="EU94" s="36"/>
      <c r="EV94" s="24"/>
      <c r="EW94" s="25"/>
      <c r="EX94" s="36"/>
      <c r="EY94" s="36"/>
      <c r="EZ94" s="37"/>
      <c r="FA94" s="36"/>
      <c r="FB94" s="24"/>
      <c r="FC94" s="25"/>
      <c r="FD94" s="36"/>
      <c r="FE94" s="36"/>
      <c r="FF94" s="37"/>
      <c r="FG94" s="36"/>
      <c r="FH94" s="24"/>
      <c r="FI94" s="25"/>
      <c r="FJ94" s="36"/>
      <c r="FK94" s="36"/>
      <c r="FL94" s="37"/>
      <c r="FM94" s="36"/>
      <c r="FN94" s="24"/>
      <c r="FO94" s="25"/>
      <c r="FP94" s="36"/>
      <c r="FQ94" s="36"/>
      <c r="FR94" s="37"/>
      <c r="FS94" s="36"/>
      <c r="FT94" s="24"/>
      <c r="FU94" s="25"/>
      <c r="FV94" s="36"/>
      <c r="FW94" s="36"/>
      <c r="FX94" s="37"/>
      <c r="FY94" s="36"/>
      <c r="FZ94" s="24"/>
      <c r="GA94" s="25"/>
      <c r="GB94" s="36"/>
      <c r="GC94" s="36"/>
      <c r="GD94" s="37"/>
      <c r="GE94" s="36"/>
      <c r="GF94" s="24"/>
      <c r="GG94" s="25"/>
      <c r="GH94" s="36"/>
      <c r="GI94" s="36"/>
      <c r="GJ94" s="37"/>
      <c r="GK94" s="36"/>
      <c r="GL94" s="24"/>
      <c r="GM94" s="25"/>
      <c r="GN94" s="36"/>
      <c r="GO94" s="36"/>
      <c r="GP94" s="37"/>
      <c r="GQ94" s="36"/>
      <c r="GR94" s="24"/>
      <c r="GS94" s="25"/>
      <c r="GT94" s="36"/>
      <c r="GU94" s="36"/>
      <c r="GV94" s="37"/>
      <c r="GW94" s="36"/>
      <c r="GX94" s="24"/>
      <c r="GY94" s="25"/>
      <c r="GZ94" s="36"/>
      <c r="HA94" s="36"/>
      <c r="HB94" s="37"/>
      <c r="HC94" s="36"/>
      <c r="HD94" s="24"/>
      <c r="HE94" s="25"/>
      <c r="HF94" s="36"/>
      <c r="HG94" s="36"/>
      <c r="HH94" s="37"/>
      <c r="HI94" s="36"/>
      <c r="HJ94" s="24"/>
      <c r="HK94" s="25"/>
      <c r="HL94" s="36"/>
      <c r="HM94" s="36"/>
      <c r="HN94" s="37"/>
      <c r="HO94" s="36"/>
      <c r="HP94" s="24"/>
      <c r="HQ94" s="25"/>
      <c r="HR94" s="36"/>
      <c r="HS94" s="36"/>
      <c r="HT94" s="37"/>
      <c r="HU94" s="36"/>
      <c r="HV94" s="24"/>
      <c r="HW94" s="25"/>
      <c r="HX94" s="36"/>
      <c r="HY94" s="36"/>
      <c r="HZ94" s="37"/>
      <c r="IA94" s="36"/>
      <c r="IB94" s="24"/>
      <c r="IC94" s="25"/>
      <c r="ID94" s="36"/>
      <c r="IE94" s="36"/>
      <c r="IF94" s="37"/>
      <c r="IG94" s="36"/>
      <c r="IH94" s="24"/>
      <c r="II94" s="25"/>
      <c r="IJ94" s="36"/>
      <c r="IK94" s="36"/>
      <c r="IL94" s="37"/>
      <c r="IM94" s="36"/>
      <c r="IN94" s="24"/>
      <c r="IO94" s="25"/>
      <c r="IP94" s="36"/>
      <c r="IQ94" s="36"/>
      <c r="IR94" s="37"/>
      <c r="IS94" s="36"/>
      <c r="IT94" s="24"/>
      <c r="IU94" s="25"/>
      <c r="IV94" s="36"/>
      <c r="IW94" s="36"/>
      <c r="IX94" s="37"/>
      <c r="IY94" s="36"/>
      <c r="IZ94" s="24"/>
      <c r="JA94" s="25"/>
      <c r="JB94" s="36"/>
      <c r="JC94" s="36"/>
      <c r="JD94" s="37"/>
      <c r="JE94" s="36"/>
      <c r="JF94" s="24"/>
      <c r="JG94" s="25"/>
      <c r="JH94" s="36"/>
      <c r="JI94" s="36"/>
      <c r="JJ94" s="37"/>
    </row>
    <row r="95" spans="1:270" ht="15.75" customHeight="1">
      <c r="A95" s="7" t="s">
        <v>6</v>
      </c>
      <c r="B95" s="7" t="s">
        <v>7</v>
      </c>
      <c r="C95" s="7" t="s">
        <v>8</v>
      </c>
      <c r="D95" s="7" t="s">
        <v>9</v>
      </c>
      <c r="E95" s="7" t="s">
        <v>10</v>
      </c>
      <c r="F95" s="7" t="s">
        <v>11</v>
      </c>
      <c r="G95" s="7" t="s">
        <v>12</v>
      </c>
      <c r="H95" s="7" t="s">
        <v>13</v>
      </c>
      <c r="I95" s="26"/>
      <c r="J95" s="125" t="s">
        <v>225</v>
      </c>
      <c r="K95" s="135"/>
      <c r="L95" s="135"/>
      <c r="M95" s="135"/>
      <c r="N95" s="135"/>
      <c r="O95" s="135">
        <f>SUM(E154:E158)/153</f>
        <v>3.9215686274509803E-2</v>
      </c>
      <c r="P95" s="135">
        <f>F159/153</f>
        <v>3.9215686274509803E-2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</row>
    <row r="96" spans="1:270" ht="15.75" customHeight="1">
      <c r="A96" s="8">
        <v>1</v>
      </c>
      <c r="B96" s="8" t="s">
        <v>145</v>
      </c>
      <c r="C96" s="9" t="s">
        <v>146</v>
      </c>
      <c r="D96" s="8" t="s">
        <v>120</v>
      </c>
      <c r="E96" s="8">
        <v>2</v>
      </c>
      <c r="F96" s="8"/>
      <c r="G96" s="12"/>
      <c r="H96" s="8"/>
      <c r="I96" s="70"/>
      <c r="J96" s="73" t="s">
        <v>27</v>
      </c>
      <c r="K96" s="144">
        <f>SUM(K83:K88)</f>
        <v>0.18300653594771243</v>
      </c>
      <c r="L96" s="145"/>
      <c r="M96" s="144">
        <f>SUM(M83:M90)</f>
        <v>0.262483660130719</v>
      </c>
      <c r="N96" s="144">
        <f>SUM(N89:N93)</f>
        <v>2.6143790849673203E-2</v>
      </c>
      <c r="O96" s="144">
        <f>SUM(O87:O95)</f>
        <v>0.3529411764705882</v>
      </c>
      <c r="P96" s="144">
        <f>SUM(P83:P95)</f>
        <v>0.17647058823529413</v>
      </c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/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  <c r="JA96" s="44"/>
      <c r="JB96" s="44"/>
      <c r="JC96" s="44"/>
      <c r="JD96" s="44"/>
      <c r="JE96" s="44"/>
      <c r="JF96" s="44"/>
      <c r="JG96" s="44"/>
      <c r="JH96" s="44"/>
      <c r="JI96" s="44"/>
      <c r="JJ96" s="44"/>
    </row>
    <row r="97" spans="1:270" ht="15.75" customHeight="1">
      <c r="A97" s="8">
        <v>3</v>
      </c>
      <c r="B97" s="8" t="s">
        <v>147</v>
      </c>
      <c r="C97" s="9" t="s">
        <v>148</v>
      </c>
      <c r="D97" s="8" t="s">
        <v>43</v>
      </c>
      <c r="E97" s="8">
        <v>2</v>
      </c>
      <c r="F97" s="8"/>
      <c r="G97" s="12"/>
      <c r="H97" s="8"/>
      <c r="I97" s="70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44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  <c r="DK97" s="44"/>
      <c r="DL97" s="44"/>
      <c r="DM97" s="44"/>
      <c r="DN97" s="44"/>
      <c r="DO97" s="44"/>
      <c r="DP97" s="44"/>
      <c r="DQ97" s="44"/>
      <c r="DR97" s="44"/>
      <c r="DS97" s="44"/>
      <c r="DT97" s="44"/>
      <c r="DU97" s="44"/>
      <c r="DV97" s="44"/>
      <c r="DW97" s="44"/>
      <c r="DX97" s="44"/>
      <c r="DY97" s="44"/>
      <c r="DZ97" s="44"/>
      <c r="EA97" s="44"/>
      <c r="EB97" s="44"/>
      <c r="EC97" s="44"/>
      <c r="ED97" s="44"/>
      <c r="EE97" s="44"/>
      <c r="EF97" s="44"/>
      <c r="EG97" s="44"/>
      <c r="EH97" s="44"/>
      <c r="EI97" s="44"/>
      <c r="EJ97" s="44"/>
      <c r="EK97" s="44"/>
      <c r="EL97" s="44"/>
      <c r="EM97" s="44"/>
      <c r="EN97" s="44"/>
      <c r="EO97" s="44"/>
      <c r="EP97" s="44"/>
      <c r="EQ97" s="44"/>
      <c r="ER97" s="44"/>
      <c r="ES97" s="44"/>
      <c r="ET97" s="44"/>
      <c r="EU97" s="44"/>
      <c r="EV97" s="44"/>
      <c r="EW97" s="44"/>
      <c r="EX97" s="44"/>
      <c r="EY97" s="44"/>
      <c r="EZ97" s="44"/>
      <c r="FA97" s="44"/>
      <c r="FB97" s="44"/>
      <c r="FC97" s="44"/>
      <c r="FD97" s="44"/>
      <c r="FE97" s="44"/>
      <c r="FF97" s="44"/>
      <c r="FG97" s="44"/>
      <c r="FH97" s="44"/>
      <c r="FI97" s="44"/>
      <c r="FJ97" s="44"/>
      <c r="FK97" s="44"/>
      <c r="FL97" s="44"/>
      <c r="FM97" s="44"/>
      <c r="FN97" s="44"/>
      <c r="FO97" s="44"/>
      <c r="FP97" s="44"/>
      <c r="FQ97" s="44"/>
      <c r="FR97" s="44"/>
      <c r="FS97" s="44"/>
      <c r="FT97" s="44"/>
      <c r="FU97" s="44"/>
      <c r="FV97" s="44"/>
      <c r="FW97" s="44"/>
      <c r="FX97" s="44"/>
      <c r="FY97" s="44"/>
      <c r="FZ97" s="44"/>
      <c r="GA97" s="44"/>
      <c r="GB97" s="44"/>
      <c r="GC97" s="44"/>
      <c r="GD97" s="44"/>
      <c r="GE97" s="44"/>
      <c r="GF97" s="44"/>
      <c r="GG97" s="44"/>
      <c r="GH97" s="44"/>
      <c r="GI97" s="44"/>
      <c r="GJ97" s="44"/>
      <c r="GK97" s="44"/>
      <c r="GL97" s="44"/>
      <c r="GM97" s="44"/>
      <c r="GN97" s="44"/>
      <c r="GO97" s="44"/>
      <c r="GP97" s="44"/>
      <c r="GQ97" s="44"/>
      <c r="GR97" s="44"/>
      <c r="GS97" s="44"/>
      <c r="GT97" s="44"/>
      <c r="GU97" s="44"/>
      <c r="GV97" s="44"/>
      <c r="GW97" s="44"/>
      <c r="GX97" s="44"/>
      <c r="GY97" s="44"/>
      <c r="GZ97" s="44"/>
      <c r="HA97" s="44"/>
      <c r="HB97" s="44"/>
      <c r="HC97" s="44"/>
      <c r="HD97" s="44"/>
      <c r="HE97" s="44"/>
      <c r="HF97" s="44"/>
      <c r="HG97" s="44"/>
      <c r="HH97" s="44"/>
      <c r="HI97" s="44"/>
      <c r="HJ97" s="44"/>
      <c r="HK97" s="44"/>
      <c r="HL97" s="44"/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/>
      <c r="IG97" s="44"/>
      <c r="IH97" s="44"/>
      <c r="II97" s="44"/>
      <c r="IJ97" s="44"/>
      <c r="IK97" s="44"/>
      <c r="IL97" s="44"/>
      <c r="IM97" s="44"/>
      <c r="IN97" s="44"/>
      <c r="IO97" s="44"/>
      <c r="IP97" s="44"/>
      <c r="IQ97" s="44"/>
      <c r="IR97" s="44"/>
      <c r="IS97" s="44"/>
      <c r="IT97" s="44"/>
      <c r="IU97" s="44"/>
      <c r="IV97" s="44"/>
      <c r="IW97" s="44"/>
      <c r="IX97" s="44"/>
      <c r="IY97" s="44"/>
      <c r="IZ97" s="44"/>
      <c r="JA97" s="44"/>
      <c r="JB97" s="44"/>
      <c r="JC97" s="44"/>
      <c r="JD97" s="44"/>
      <c r="JE97" s="44"/>
      <c r="JF97" s="44"/>
      <c r="JG97" s="44"/>
      <c r="JH97" s="44"/>
      <c r="JI97" s="44"/>
      <c r="JJ97" s="44"/>
    </row>
    <row r="98" spans="1:270" ht="15.75" customHeight="1">
      <c r="A98" s="8">
        <v>4</v>
      </c>
      <c r="B98" s="8" t="s">
        <v>149</v>
      </c>
      <c r="C98" s="9" t="s">
        <v>150</v>
      </c>
      <c r="D98" s="12" t="s">
        <v>16</v>
      </c>
      <c r="E98" s="12">
        <f>VALUE(LEFT(D98,1))</f>
        <v>3</v>
      </c>
      <c r="F98" s="12"/>
      <c r="G98" s="12"/>
      <c r="H98" s="8"/>
      <c r="I98" s="47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/>
      <c r="FA98" s="44"/>
      <c r="FB98" s="44"/>
      <c r="FC98" s="44"/>
      <c r="FD98" s="44"/>
      <c r="FE98" s="44"/>
      <c r="FF98" s="44"/>
      <c r="FG98" s="44"/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/>
      <c r="IJ98" s="44"/>
      <c r="IK98" s="44"/>
      <c r="IL98" s="44"/>
      <c r="IM98" s="44"/>
      <c r="IN98" s="44"/>
      <c r="IO98" s="44"/>
      <c r="IP98" s="44"/>
      <c r="IQ98" s="44"/>
      <c r="IR98" s="44"/>
      <c r="IS98" s="44"/>
      <c r="IT98" s="44"/>
      <c r="IU98" s="44"/>
      <c r="IV98" s="44"/>
      <c r="IW98" s="44"/>
      <c r="IX98" s="44"/>
      <c r="IY98" s="44"/>
      <c r="IZ98" s="44"/>
      <c r="JA98" s="44"/>
      <c r="JB98" s="44"/>
      <c r="JC98" s="44"/>
      <c r="JD98" s="44"/>
      <c r="JE98" s="44"/>
      <c r="JF98" s="44"/>
      <c r="JG98" s="44"/>
      <c r="JH98" s="44"/>
      <c r="JI98" s="44"/>
      <c r="JJ98" s="44"/>
    </row>
    <row r="99" spans="1:270" ht="39.4">
      <c r="A99" s="51">
        <v>5</v>
      </c>
      <c r="B99" s="51" t="s">
        <v>151</v>
      </c>
      <c r="C99" s="52" t="s">
        <v>152</v>
      </c>
      <c r="D99" s="51" t="s">
        <v>16</v>
      </c>
      <c r="E99" s="51">
        <v>3</v>
      </c>
      <c r="F99" s="51"/>
      <c r="G99" s="62" t="s">
        <v>109</v>
      </c>
      <c r="H99" s="51"/>
      <c r="I99" s="26"/>
      <c r="J99" s="44"/>
      <c r="K99" s="66" t="s">
        <v>241</v>
      </c>
      <c r="L99" s="66" t="s">
        <v>242</v>
      </c>
      <c r="M99" s="66" t="s">
        <v>243</v>
      </c>
      <c r="N99" s="66" t="s">
        <v>11</v>
      </c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44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  <c r="DK99" s="44"/>
      <c r="DL99" s="44"/>
      <c r="DM99" s="44"/>
      <c r="DN99" s="44"/>
      <c r="DO99" s="44"/>
      <c r="DP99" s="44"/>
      <c r="DQ99" s="44"/>
      <c r="DR99" s="44"/>
      <c r="DS99" s="44"/>
      <c r="DT99" s="44"/>
      <c r="DU99" s="44"/>
      <c r="DV99" s="44"/>
      <c r="DW99" s="44"/>
      <c r="DX99" s="44"/>
      <c r="DY99" s="44"/>
      <c r="DZ99" s="44"/>
      <c r="EA99" s="44"/>
      <c r="EB99" s="44"/>
      <c r="EC99" s="44"/>
      <c r="ED99" s="44"/>
      <c r="EE99" s="44"/>
      <c r="EF99" s="44"/>
      <c r="EG99" s="44"/>
      <c r="EH99" s="44"/>
      <c r="EI99" s="44"/>
      <c r="EJ99" s="44"/>
      <c r="EK99" s="44"/>
      <c r="EL99" s="44"/>
      <c r="EM99" s="44"/>
      <c r="EN99" s="44"/>
      <c r="EO99" s="44"/>
      <c r="EP99" s="44"/>
      <c r="EQ99" s="44"/>
      <c r="ER99" s="44"/>
      <c r="ES99" s="44"/>
      <c r="ET99" s="44"/>
      <c r="EU99" s="44"/>
      <c r="EV99" s="44"/>
      <c r="EW99" s="44"/>
      <c r="EX99" s="44"/>
      <c r="EY99" s="44"/>
      <c r="EZ99" s="44"/>
      <c r="FA99" s="44"/>
      <c r="FB99" s="44"/>
      <c r="FC99" s="44"/>
      <c r="FD99" s="44"/>
      <c r="FE99" s="44"/>
      <c r="FF99" s="44"/>
      <c r="FG99" s="44"/>
      <c r="FH99" s="44"/>
      <c r="FI99" s="44"/>
      <c r="FJ99" s="44"/>
      <c r="FK99" s="44"/>
      <c r="FL99" s="44"/>
      <c r="FM99" s="44"/>
      <c r="FN99" s="44"/>
      <c r="FO99" s="44"/>
      <c r="FP99" s="44"/>
      <c r="FQ99" s="44"/>
      <c r="FR99" s="44"/>
      <c r="FS99" s="44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44"/>
      <c r="HQ99" s="44"/>
      <c r="HR99" s="44"/>
      <c r="HS99" s="44"/>
      <c r="HT99" s="44"/>
      <c r="HU99" s="44"/>
      <c r="HV99" s="44"/>
      <c r="HW99" s="44"/>
      <c r="HX99" s="44"/>
      <c r="HY99" s="44"/>
      <c r="HZ99" s="44"/>
      <c r="IA99" s="44"/>
      <c r="IB99" s="44"/>
      <c r="IC99" s="44"/>
      <c r="ID99" s="44"/>
      <c r="IE99" s="44"/>
      <c r="IF99" s="44"/>
      <c r="IG99" s="44"/>
      <c r="IH99" s="44"/>
      <c r="II99" s="44"/>
      <c r="IJ99" s="44"/>
      <c r="IK99" s="44"/>
      <c r="IL99" s="44"/>
      <c r="IM99" s="44"/>
      <c r="IN99" s="44"/>
      <c r="IO99" s="44"/>
      <c r="IP99" s="44"/>
      <c r="IQ99" s="44"/>
      <c r="IR99" s="44"/>
      <c r="IS99" s="44"/>
      <c r="IT99" s="44"/>
      <c r="IU99" s="44"/>
      <c r="IV99" s="44"/>
      <c r="IW99" s="44"/>
      <c r="IX99" s="44"/>
      <c r="IY99" s="44"/>
      <c r="IZ99" s="44"/>
      <c r="JA99" s="44"/>
      <c r="JB99" s="44"/>
      <c r="JC99" s="44"/>
      <c r="JD99" s="44"/>
      <c r="JE99" s="44"/>
      <c r="JF99" s="44"/>
      <c r="JG99" s="44"/>
      <c r="JH99" s="44"/>
      <c r="JI99" s="44"/>
      <c r="JJ99" s="44"/>
    </row>
    <row r="100" spans="1:270" ht="15.75" customHeight="1">
      <c r="A100" s="53">
        <v>6</v>
      </c>
      <c r="B100" s="53" t="s">
        <v>153</v>
      </c>
      <c r="C100" s="54" t="s">
        <v>154</v>
      </c>
      <c r="D100" s="53" t="s">
        <v>61</v>
      </c>
      <c r="E100" s="63">
        <v>2</v>
      </c>
      <c r="F100" s="64"/>
      <c r="G100" s="65"/>
      <c r="H100" s="64"/>
      <c r="I100" s="26"/>
      <c r="J100" s="44"/>
      <c r="K100" s="146">
        <f>K96</f>
        <v>0.18300653594771243</v>
      </c>
      <c r="L100" s="146">
        <f>SUM(M96:N96)</f>
        <v>0.28862745098039222</v>
      </c>
      <c r="M100" s="146">
        <f>SUM(O96:P96)</f>
        <v>0.52941176470588236</v>
      </c>
      <c r="N100" s="149">
        <f>N96+P96</f>
        <v>0.20261437908496732</v>
      </c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/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/>
      <c r="CQ100" s="44"/>
      <c r="CR100" s="44"/>
      <c r="CS100" s="44"/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/>
      <c r="FH100" s="44"/>
      <c r="FI100" s="44"/>
      <c r="FJ100" s="44"/>
      <c r="FK100" s="44"/>
      <c r="FL100" s="44"/>
      <c r="FM100" s="44"/>
      <c r="FN100" s="44"/>
      <c r="FO100" s="44"/>
      <c r="FP100" s="44"/>
      <c r="FQ100" s="44"/>
      <c r="FR100" s="44"/>
      <c r="FS100" s="44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44"/>
      <c r="HQ100" s="44"/>
      <c r="HR100" s="44"/>
      <c r="HS100" s="44"/>
      <c r="HT100" s="44"/>
      <c r="HU100" s="44"/>
      <c r="HV100" s="44"/>
      <c r="HW100" s="44"/>
      <c r="HX100" s="44"/>
      <c r="HY100" s="44"/>
      <c r="HZ100" s="44"/>
      <c r="IA100" s="44"/>
      <c r="IB100" s="44"/>
      <c r="IC100" s="44"/>
      <c r="ID100" s="44"/>
      <c r="IE100" s="44"/>
      <c r="IF100" s="44"/>
      <c r="IG100" s="44"/>
      <c r="IH100" s="44"/>
      <c r="II100" s="44"/>
      <c r="IJ100" s="44"/>
      <c r="IK100" s="44"/>
      <c r="IL100" s="44"/>
      <c r="IM100" s="44"/>
      <c r="IN100" s="44"/>
      <c r="IO100" s="44"/>
      <c r="IP100" s="44"/>
      <c r="IQ100" s="44"/>
      <c r="IR100" s="44"/>
      <c r="IS100" s="44"/>
      <c r="IT100" s="44"/>
      <c r="IU100" s="44"/>
      <c r="IV100" s="44"/>
      <c r="IW100" s="44"/>
      <c r="IX100" s="44"/>
      <c r="IY100" s="44"/>
      <c r="IZ100" s="44"/>
      <c r="JA100" s="44"/>
      <c r="JB100" s="44"/>
      <c r="JC100" s="44"/>
      <c r="JD100" s="44"/>
      <c r="JE100" s="44"/>
      <c r="JF100" s="44"/>
      <c r="JG100" s="44"/>
      <c r="JH100" s="44"/>
      <c r="JI100" s="44"/>
      <c r="JJ100" s="44"/>
    </row>
    <row r="101" spans="1:270" ht="15.75" customHeight="1">
      <c r="A101" s="55"/>
      <c r="B101" s="55"/>
      <c r="C101" s="55"/>
      <c r="D101" s="55"/>
      <c r="E101" s="55"/>
      <c r="F101" s="55"/>
      <c r="G101" s="55"/>
      <c r="H101" s="55"/>
      <c r="I101" s="2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</row>
    <row r="102" spans="1:270" ht="15.75" customHeight="1">
      <c r="A102" s="56"/>
      <c r="B102" s="57"/>
      <c r="C102" s="57" t="s">
        <v>27</v>
      </c>
      <c r="D102" s="57"/>
      <c r="E102" s="66">
        <f>SUM(E96:E100)</f>
        <v>12</v>
      </c>
      <c r="F102" s="57"/>
      <c r="G102" s="56"/>
      <c r="H102" s="57">
        <f>SUM(E102:F102)</f>
        <v>12</v>
      </c>
      <c r="I102" s="2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</row>
    <row r="103" spans="1:270" ht="15.75" customHeight="1">
      <c r="A103" s="50"/>
      <c r="B103" s="26"/>
      <c r="C103" s="27"/>
      <c r="D103" s="26"/>
      <c r="E103" s="26"/>
      <c r="F103" s="26"/>
      <c r="G103" s="38"/>
      <c r="H103" s="26"/>
      <c r="I103" s="2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</row>
    <row r="104" spans="1:270" ht="15.75" customHeight="1">
      <c r="A104" s="106" t="s">
        <v>155</v>
      </c>
      <c r="B104" s="107"/>
      <c r="C104" s="107"/>
      <c r="D104" s="107"/>
      <c r="E104" s="107"/>
      <c r="F104" s="107"/>
      <c r="G104" s="107"/>
      <c r="H104" s="107"/>
      <c r="I104" s="2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</row>
    <row r="105" spans="1:270" ht="15.75" customHeight="1">
      <c r="A105" s="109" t="s">
        <v>156</v>
      </c>
      <c r="B105" s="107"/>
      <c r="C105" s="107"/>
      <c r="D105" s="107"/>
      <c r="E105" s="107"/>
      <c r="F105" s="107"/>
      <c r="G105" s="107"/>
      <c r="H105" s="108"/>
      <c r="I105" s="17"/>
      <c r="J105" s="17"/>
      <c r="K105" s="17"/>
      <c r="L105" s="17"/>
      <c r="M105" s="47"/>
      <c r="N105" s="69"/>
      <c r="O105" s="17"/>
      <c r="P105" s="17"/>
      <c r="Q105" s="17"/>
      <c r="R105" s="47"/>
      <c r="S105" s="17"/>
      <c r="T105" s="69"/>
      <c r="U105" s="17"/>
      <c r="V105" s="17"/>
      <c r="W105" s="17"/>
      <c r="X105" s="47"/>
      <c r="Y105" s="17"/>
      <c r="Z105" s="69"/>
      <c r="AA105" s="17"/>
      <c r="AB105" s="17"/>
      <c r="AC105" s="17"/>
      <c r="AD105" s="47"/>
      <c r="AE105" s="17"/>
      <c r="AF105" s="69"/>
      <c r="AG105" s="17"/>
      <c r="AH105" s="17"/>
      <c r="AI105" s="17"/>
      <c r="AJ105" s="47"/>
      <c r="AK105" s="17"/>
      <c r="AL105" s="69"/>
      <c r="AM105" s="17"/>
      <c r="AN105" s="17"/>
      <c r="AO105" s="17"/>
      <c r="AP105" s="47"/>
      <c r="AQ105" s="17"/>
      <c r="AR105" s="69"/>
      <c r="AS105" s="17"/>
      <c r="AT105" s="17"/>
      <c r="AU105" s="17"/>
      <c r="AV105" s="47"/>
      <c r="AW105" s="17"/>
      <c r="AX105" s="69"/>
      <c r="AY105" s="17"/>
      <c r="AZ105" s="17"/>
      <c r="BA105" s="17"/>
      <c r="BB105" s="47"/>
      <c r="BC105" s="17"/>
      <c r="BD105" s="69"/>
      <c r="BE105" s="17"/>
      <c r="BF105" s="36"/>
      <c r="BG105" s="36"/>
      <c r="BH105" s="37"/>
      <c r="BI105" s="36"/>
      <c r="BJ105" s="24"/>
      <c r="BK105" s="25"/>
      <c r="BL105" s="36"/>
      <c r="BM105" s="36"/>
      <c r="BN105" s="37"/>
      <c r="BO105" s="36"/>
      <c r="BP105" s="24"/>
      <c r="BQ105" s="25"/>
      <c r="BR105" s="36"/>
      <c r="BS105" s="36"/>
      <c r="BT105" s="37"/>
      <c r="BU105" s="36"/>
      <c r="BV105" s="24"/>
      <c r="BW105" s="25"/>
      <c r="BX105" s="36"/>
      <c r="BY105" s="36"/>
      <c r="BZ105" s="37"/>
      <c r="CA105" s="36"/>
      <c r="CB105" s="24"/>
      <c r="CC105" s="25"/>
      <c r="CD105" s="36"/>
      <c r="CE105" s="36"/>
      <c r="CF105" s="37"/>
      <c r="CG105" s="36"/>
      <c r="CH105" s="24"/>
      <c r="CI105" s="25"/>
      <c r="CJ105" s="36"/>
      <c r="CK105" s="36"/>
      <c r="CL105" s="37"/>
      <c r="CM105" s="36"/>
      <c r="CN105" s="24"/>
      <c r="CO105" s="25"/>
      <c r="CP105" s="36"/>
      <c r="CQ105" s="36"/>
      <c r="CR105" s="37"/>
      <c r="CS105" s="36"/>
      <c r="CT105" s="24"/>
      <c r="CU105" s="25"/>
      <c r="CV105" s="36"/>
      <c r="CW105" s="36"/>
      <c r="CX105" s="37"/>
      <c r="CY105" s="36"/>
      <c r="CZ105" s="24"/>
      <c r="DA105" s="25"/>
      <c r="DB105" s="36"/>
      <c r="DC105" s="36"/>
      <c r="DD105" s="37"/>
      <c r="DE105" s="36"/>
      <c r="DF105" s="24"/>
      <c r="DG105" s="25"/>
      <c r="DH105" s="36"/>
      <c r="DI105" s="36"/>
      <c r="DJ105" s="37"/>
      <c r="DK105" s="36"/>
      <c r="DL105" s="24"/>
      <c r="DM105" s="25"/>
      <c r="DN105" s="36"/>
      <c r="DO105" s="36"/>
      <c r="DP105" s="37"/>
      <c r="DQ105" s="36"/>
      <c r="DR105" s="24"/>
      <c r="DS105" s="25"/>
      <c r="DT105" s="36"/>
      <c r="DU105" s="36"/>
      <c r="DV105" s="37"/>
      <c r="DW105" s="36"/>
      <c r="DX105" s="24"/>
      <c r="DY105" s="25"/>
      <c r="DZ105" s="36"/>
      <c r="EA105" s="36"/>
      <c r="EB105" s="37"/>
      <c r="EC105" s="36"/>
      <c r="ED105" s="24"/>
      <c r="EE105" s="25"/>
      <c r="EF105" s="36"/>
      <c r="EG105" s="36"/>
      <c r="EH105" s="37"/>
      <c r="EI105" s="36"/>
      <c r="EJ105" s="24"/>
      <c r="EK105" s="25"/>
      <c r="EL105" s="36"/>
      <c r="EM105" s="36"/>
      <c r="EN105" s="37"/>
      <c r="EO105" s="36"/>
      <c r="EP105" s="24"/>
      <c r="EQ105" s="25"/>
      <c r="ER105" s="36"/>
      <c r="ES105" s="36"/>
      <c r="ET105" s="37"/>
      <c r="EU105" s="36"/>
      <c r="EV105" s="24"/>
      <c r="EW105" s="25"/>
      <c r="EX105" s="36"/>
      <c r="EY105" s="36"/>
      <c r="EZ105" s="37"/>
      <c r="FA105" s="36"/>
      <c r="FB105" s="24"/>
      <c r="FC105" s="25"/>
      <c r="FD105" s="36"/>
      <c r="FE105" s="36"/>
      <c r="FF105" s="37"/>
      <c r="FG105" s="36"/>
      <c r="FH105" s="24"/>
      <c r="FI105" s="25"/>
      <c r="FJ105" s="36"/>
      <c r="FK105" s="36"/>
      <c r="FL105" s="37"/>
      <c r="FM105" s="36"/>
      <c r="FN105" s="24"/>
      <c r="FO105" s="25"/>
      <c r="FP105" s="36"/>
      <c r="FQ105" s="36"/>
      <c r="FR105" s="37"/>
      <c r="FS105" s="36"/>
      <c r="FT105" s="24"/>
      <c r="FU105" s="25"/>
      <c r="FV105" s="36"/>
      <c r="FW105" s="36"/>
      <c r="FX105" s="37"/>
      <c r="FY105" s="36"/>
      <c r="FZ105" s="24"/>
      <c r="GA105" s="25"/>
      <c r="GB105" s="36"/>
      <c r="GC105" s="36"/>
      <c r="GD105" s="37"/>
      <c r="GE105" s="36"/>
      <c r="GF105" s="24"/>
      <c r="GG105" s="25"/>
      <c r="GH105" s="36"/>
      <c r="GI105" s="36"/>
      <c r="GJ105" s="37"/>
      <c r="GK105" s="36"/>
      <c r="GL105" s="24"/>
      <c r="GM105" s="25"/>
      <c r="GN105" s="36"/>
      <c r="GO105" s="36"/>
      <c r="GP105" s="37"/>
      <c r="GQ105" s="36"/>
      <c r="GR105" s="24"/>
      <c r="GS105" s="25"/>
      <c r="GT105" s="36"/>
      <c r="GU105" s="36"/>
      <c r="GV105" s="37"/>
      <c r="GW105" s="36"/>
      <c r="GX105" s="24"/>
      <c r="GY105" s="25"/>
      <c r="GZ105" s="36"/>
      <c r="HA105" s="36"/>
      <c r="HB105" s="37"/>
      <c r="HC105" s="36"/>
      <c r="HD105" s="24"/>
      <c r="HE105" s="25"/>
      <c r="HF105" s="36"/>
      <c r="HG105" s="36"/>
      <c r="HH105" s="37"/>
      <c r="HI105" s="36"/>
      <c r="HJ105" s="24"/>
      <c r="HK105" s="25"/>
      <c r="HL105" s="36"/>
      <c r="HM105" s="36"/>
      <c r="HN105" s="37"/>
      <c r="HO105" s="36"/>
      <c r="HP105" s="24"/>
      <c r="HQ105" s="25"/>
      <c r="HR105" s="36"/>
      <c r="HS105" s="36"/>
      <c r="HT105" s="37"/>
      <c r="HU105" s="36"/>
      <c r="HV105" s="24"/>
      <c r="HW105" s="25"/>
      <c r="HX105" s="36"/>
      <c r="HY105" s="36"/>
      <c r="HZ105" s="37"/>
      <c r="IA105" s="36"/>
      <c r="IB105" s="24"/>
      <c r="IC105" s="25"/>
      <c r="ID105" s="36"/>
      <c r="IE105" s="36"/>
      <c r="IF105" s="37"/>
      <c r="IG105" s="36"/>
      <c r="IH105" s="24"/>
      <c r="II105" s="25"/>
      <c r="IJ105" s="36"/>
      <c r="IK105" s="36"/>
      <c r="IL105" s="37"/>
      <c r="IM105" s="36"/>
      <c r="IN105" s="24"/>
      <c r="IO105" s="25"/>
      <c r="IP105" s="36"/>
      <c r="IQ105" s="36"/>
      <c r="IR105" s="37"/>
      <c r="IS105" s="36"/>
      <c r="IT105" s="24"/>
      <c r="IU105" s="25"/>
      <c r="IV105" s="36"/>
      <c r="IW105" s="36"/>
      <c r="IX105" s="37"/>
      <c r="IY105" s="36"/>
      <c r="IZ105" s="24"/>
      <c r="JA105" s="25"/>
      <c r="JB105" s="36"/>
      <c r="JC105" s="36"/>
      <c r="JD105" s="37"/>
      <c r="JE105" s="36"/>
      <c r="JF105" s="24"/>
      <c r="JG105" s="25"/>
      <c r="JH105" s="36"/>
      <c r="JI105" s="36"/>
      <c r="JJ105" s="37"/>
    </row>
    <row r="106" spans="1:270" ht="15.75" customHeight="1">
      <c r="A106" s="7" t="s">
        <v>6</v>
      </c>
      <c r="B106" s="7" t="s">
        <v>7</v>
      </c>
      <c r="C106" s="7" t="s">
        <v>8</v>
      </c>
      <c r="D106" s="7" t="s">
        <v>9</v>
      </c>
      <c r="E106" s="7" t="s">
        <v>10</v>
      </c>
      <c r="F106" s="7" t="s">
        <v>11</v>
      </c>
      <c r="G106" s="7" t="s">
        <v>12</v>
      </c>
      <c r="H106" s="7" t="s">
        <v>13</v>
      </c>
      <c r="I106" s="2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</row>
    <row r="107" spans="1:270" ht="15.75" customHeight="1">
      <c r="A107" s="8">
        <v>1</v>
      </c>
      <c r="B107" s="8" t="s">
        <v>157</v>
      </c>
      <c r="C107" s="9" t="s">
        <v>158</v>
      </c>
      <c r="D107" s="8" t="s">
        <v>43</v>
      </c>
      <c r="E107" s="8">
        <v>2</v>
      </c>
      <c r="F107" s="8"/>
      <c r="G107" s="12"/>
      <c r="H107" s="8"/>
      <c r="I107" s="70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/>
      <c r="BZ107" s="44"/>
      <c r="CA107" s="44"/>
      <c r="CB107" s="44"/>
      <c r="CC107" s="44"/>
      <c r="CD107" s="44"/>
      <c r="CE107" s="44"/>
      <c r="CF107" s="44"/>
      <c r="CG107" s="44"/>
      <c r="CH107" s="44"/>
      <c r="CI107" s="44"/>
      <c r="CJ107" s="44"/>
      <c r="CK107" s="44"/>
      <c r="CL107" s="44"/>
      <c r="CM107" s="44"/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/>
      <c r="CY107" s="44"/>
      <c r="CZ107" s="44"/>
      <c r="DA107" s="44"/>
      <c r="DB107" s="44"/>
      <c r="DC107" s="44"/>
      <c r="DD107" s="44"/>
      <c r="DE107" s="44"/>
      <c r="DF107" s="44"/>
      <c r="DG107" s="44"/>
      <c r="DH107" s="44"/>
      <c r="DI107" s="44"/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/>
      <c r="EM107" s="44"/>
      <c r="EN107" s="44"/>
      <c r="EO107" s="44"/>
      <c r="EP107" s="44"/>
      <c r="EQ107" s="44"/>
      <c r="ER107" s="44"/>
      <c r="ES107" s="44"/>
      <c r="ET107" s="44"/>
      <c r="EU107" s="44"/>
      <c r="EV107" s="44"/>
      <c r="EW107" s="44"/>
      <c r="EX107" s="44"/>
      <c r="EY107" s="44"/>
      <c r="EZ107" s="44"/>
      <c r="FA107" s="44"/>
      <c r="FB107" s="44"/>
      <c r="FC107" s="44"/>
      <c r="FD107" s="44"/>
      <c r="FE107" s="44"/>
      <c r="FF107" s="44"/>
      <c r="FG107" s="44"/>
      <c r="FH107" s="44"/>
      <c r="FI107" s="44"/>
      <c r="FJ107" s="44"/>
      <c r="FK107" s="44"/>
      <c r="FL107" s="44"/>
      <c r="FM107" s="44"/>
      <c r="FN107" s="44"/>
      <c r="FO107" s="44"/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/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/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  <c r="IW107" s="44"/>
      <c r="IX107" s="44"/>
      <c r="IY107" s="44"/>
      <c r="IZ107" s="44"/>
      <c r="JA107" s="44"/>
      <c r="JB107" s="44"/>
      <c r="JC107" s="44"/>
      <c r="JD107" s="44"/>
      <c r="JE107" s="44"/>
      <c r="JF107" s="44"/>
      <c r="JG107" s="44"/>
      <c r="JH107" s="44"/>
      <c r="JI107" s="44"/>
      <c r="JJ107" s="44"/>
    </row>
    <row r="108" spans="1:270" ht="15.75" customHeight="1">
      <c r="A108" s="29">
        <v>2</v>
      </c>
      <c r="B108" s="21" t="s">
        <v>159</v>
      </c>
      <c r="C108" s="30" t="s">
        <v>160</v>
      </c>
      <c r="D108" s="21" t="s">
        <v>120</v>
      </c>
      <c r="E108" s="21">
        <v>2</v>
      </c>
      <c r="F108" s="21"/>
      <c r="G108" s="12"/>
      <c r="H108" s="8"/>
      <c r="I108" s="70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/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/>
      <c r="CH108" s="44"/>
      <c r="CI108" s="44"/>
      <c r="CJ108" s="44"/>
      <c r="CK108" s="44"/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/>
      <c r="CY108" s="44"/>
      <c r="CZ108" s="44"/>
      <c r="DA108" s="44"/>
      <c r="DB108" s="44"/>
      <c r="DC108" s="44"/>
      <c r="DD108" s="44"/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/>
      <c r="EM108" s="44"/>
      <c r="EN108" s="44"/>
      <c r="EO108" s="44"/>
      <c r="EP108" s="44"/>
      <c r="EQ108" s="44"/>
      <c r="ER108" s="44"/>
      <c r="ES108" s="44"/>
      <c r="ET108" s="44"/>
      <c r="EU108" s="44"/>
      <c r="EV108" s="44"/>
      <c r="EW108" s="44"/>
      <c r="EX108" s="44"/>
      <c r="EY108" s="44"/>
      <c r="EZ108" s="44"/>
      <c r="FA108" s="44"/>
      <c r="FB108" s="44"/>
      <c r="FC108" s="44"/>
      <c r="FD108" s="44"/>
      <c r="FE108" s="44"/>
      <c r="FF108" s="44"/>
      <c r="FG108" s="44"/>
      <c r="FH108" s="44"/>
      <c r="FI108" s="44"/>
      <c r="FJ108" s="44"/>
      <c r="FK108" s="44"/>
      <c r="FL108" s="44"/>
      <c r="FM108" s="44"/>
      <c r="FN108" s="44"/>
      <c r="FO108" s="44"/>
      <c r="FP108" s="44"/>
      <c r="FQ108" s="44"/>
      <c r="FR108" s="44"/>
      <c r="FS108" s="44"/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/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</row>
    <row r="109" spans="1:270" ht="15.75" customHeight="1">
      <c r="A109" s="8">
        <v>3</v>
      </c>
      <c r="B109" s="21" t="s">
        <v>161</v>
      </c>
      <c r="C109" s="30" t="s">
        <v>162</v>
      </c>
      <c r="D109" s="21" t="s">
        <v>16</v>
      </c>
      <c r="E109" s="8"/>
      <c r="F109" s="119">
        <v>9</v>
      </c>
      <c r="G109" s="12" t="s">
        <v>82</v>
      </c>
      <c r="H109" s="8"/>
      <c r="I109" s="47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/>
      <c r="CM109" s="44"/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/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/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/>
      <c r="HY109" s="44"/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/>
      <c r="IM109" s="44"/>
      <c r="IN109" s="44"/>
      <c r="IO109" s="44"/>
      <c r="IP109" s="44"/>
      <c r="IQ109" s="44"/>
      <c r="IR109" s="44"/>
      <c r="IS109" s="44"/>
      <c r="IT109" s="44"/>
      <c r="IU109" s="44"/>
      <c r="IV109" s="44"/>
      <c r="IW109" s="44"/>
      <c r="IX109" s="44"/>
      <c r="IY109" s="44"/>
      <c r="IZ109" s="44"/>
      <c r="JA109" s="44"/>
      <c r="JB109" s="44"/>
      <c r="JC109" s="44"/>
      <c r="JD109" s="44"/>
      <c r="JE109" s="44"/>
      <c r="JF109" s="44"/>
      <c r="JG109" s="44"/>
      <c r="JH109" s="44"/>
      <c r="JI109" s="44"/>
      <c r="JJ109" s="44"/>
    </row>
    <row r="110" spans="1:270" ht="15.75" customHeight="1">
      <c r="A110" s="29">
        <v>4</v>
      </c>
      <c r="B110" s="21" t="s">
        <v>163</v>
      </c>
      <c r="C110" s="30" t="s">
        <v>164</v>
      </c>
      <c r="D110" s="21" t="s">
        <v>16</v>
      </c>
      <c r="E110" s="8"/>
      <c r="F110" s="123"/>
      <c r="G110" s="12"/>
      <c r="H110" s="8"/>
      <c r="I110" s="26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/>
      <c r="CL110" s="44"/>
      <c r="CM110" s="44"/>
      <c r="CN110" s="44"/>
      <c r="CO110" s="44"/>
      <c r="CP110" s="44"/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/>
      <c r="DC110" s="44"/>
      <c r="DD110" s="44"/>
      <c r="DE110" s="44"/>
      <c r="DF110" s="44"/>
      <c r="DG110" s="44"/>
      <c r="DH110" s="44"/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/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</row>
    <row r="111" spans="1:270" ht="15.75" customHeight="1">
      <c r="A111" s="8">
        <v>5</v>
      </c>
      <c r="B111" s="21" t="s">
        <v>165</v>
      </c>
      <c r="C111" s="30" t="s">
        <v>166</v>
      </c>
      <c r="D111" s="21" t="s">
        <v>16</v>
      </c>
      <c r="E111" s="8"/>
      <c r="F111" s="123"/>
      <c r="G111" s="12" t="s">
        <v>167</v>
      </c>
      <c r="H111" s="8"/>
      <c r="I111" s="26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BS111" s="44"/>
      <c r="BT111" s="44"/>
      <c r="BU111" s="44"/>
      <c r="BV111" s="44"/>
      <c r="BW111" s="44"/>
      <c r="BX111" s="44"/>
      <c r="BY111" s="44"/>
      <c r="BZ111" s="44"/>
      <c r="CA111" s="44"/>
      <c r="CB111" s="44"/>
      <c r="CC111" s="44"/>
      <c r="CD111" s="44"/>
      <c r="CE111" s="44"/>
      <c r="CF111" s="44"/>
      <c r="CG111" s="44"/>
      <c r="CH111" s="44"/>
      <c r="CI111" s="44"/>
      <c r="CJ111" s="44"/>
      <c r="CK111" s="44"/>
      <c r="CL111" s="44"/>
      <c r="CM111" s="44"/>
      <c r="CN111" s="44"/>
      <c r="CO111" s="44"/>
      <c r="CP111" s="44"/>
      <c r="CQ111" s="44"/>
      <c r="CR111" s="44"/>
      <c r="CS111" s="44"/>
      <c r="CT111" s="44"/>
      <c r="CU111" s="44"/>
      <c r="CV111" s="44"/>
      <c r="CW111" s="44"/>
      <c r="CX111" s="44"/>
      <c r="CY111" s="44"/>
      <c r="CZ111" s="44"/>
      <c r="DA111" s="44"/>
      <c r="DB111" s="44"/>
      <c r="DC111" s="44"/>
      <c r="DD111" s="44"/>
      <c r="DE111" s="44"/>
      <c r="DF111" s="44"/>
      <c r="DG111" s="44"/>
      <c r="DH111" s="44"/>
      <c r="DI111" s="44"/>
      <c r="DJ111" s="44"/>
      <c r="DK111" s="44"/>
      <c r="DL111" s="44"/>
      <c r="DM111" s="44"/>
      <c r="DN111" s="44"/>
      <c r="DO111" s="44"/>
      <c r="DP111" s="44"/>
      <c r="DQ111" s="44"/>
      <c r="DR111" s="44"/>
      <c r="DS111" s="44"/>
      <c r="DT111" s="44"/>
      <c r="DU111" s="44"/>
      <c r="DV111" s="44"/>
      <c r="DW111" s="44"/>
      <c r="DX111" s="44"/>
      <c r="DY111" s="44"/>
      <c r="DZ111" s="44"/>
      <c r="EA111" s="44"/>
      <c r="EB111" s="44"/>
      <c r="EC111" s="44"/>
      <c r="ED111" s="44"/>
      <c r="EE111" s="44"/>
      <c r="EF111" s="44"/>
      <c r="EG111" s="44"/>
      <c r="EH111" s="44"/>
      <c r="EI111" s="44"/>
      <c r="EJ111" s="44"/>
      <c r="EK111" s="44"/>
      <c r="EL111" s="44"/>
      <c r="EM111" s="44"/>
      <c r="EN111" s="44"/>
      <c r="EO111" s="44"/>
      <c r="EP111" s="44"/>
      <c r="EQ111" s="44"/>
      <c r="ER111" s="44"/>
      <c r="ES111" s="44"/>
      <c r="ET111" s="44"/>
      <c r="EU111" s="44"/>
      <c r="EV111" s="44"/>
      <c r="EW111" s="44"/>
      <c r="EX111" s="44"/>
      <c r="EY111" s="44"/>
      <c r="EZ111" s="44"/>
      <c r="FA111" s="44"/>
      <c r="FB111" s="44"/>
      <c r="FC111" s="44"/>
      <c r="FD111" s="44"/>
      <c r="FE111" s="44"/>
      <c r="FF111" s="44"/>
      <c r="FG111" s="44"/>
      <c r="FH111" s="44"/>
      <c r="FI111" s="44"/>
      <c r="FJ111" s="44"/>
      <c r="FK111" s="44"/>
      <c r="FL111" s="44"/>
      <c r="FM111" s="44"/>
      <c r="FN111" s="44"/>
      <c r="FO111" s="44"/>
      <c r="FP111" s="44"/>
      <c r="FQ111" s="44"/>
      <c r="FR111" s="44"/>
      <c r="FS111" s="44"/>
      <c r="FT111" s="44"/>
      <c r="FU111" s="44"/>
      <c r="FV111" s="44"/>
      <c r="FW111" s="44"/>
      <c r="FX111" s="44"/>
      <c r="FY111" s="44"/>
      <c r="FZ111" s="44"/>
      <c r="GA111" s="44"/>
      <c r="GB111" s="44"/>
      <c r="GC111" s="44"/>
      <c r="GD111" s="44"/>
      <c r="GE111" s="44"/>
      <c r="GF111" s="44"/>
      <c r="GG111" s="44"/>
      <c r="GH111" s="44"/>
      <c r="GI111" s="44"/>
      <c r="GJ111" s="44"/>
      <c r="GK111" s="44"/>
      <c r="GL111" s="44"/>
      <c r="GM111" s="44"/>
      <c r="GN111" s="44"/>
      <c r="GO111" s="44"/>
      <c r="GP111" s="44"/>
      <c r="GQ111" s="44"/>
      <c r="GR111" s="44"/>
      <c r="GS111" s="44"/>
      <c r="GT111" s="44"/>
      <c r="GU111" s="44"/>
      <c r="GV111" s="44"/>
      <c r="GW111" s="44"/>
      <c r="GX111" s="44"/>
      <c r="GY111" s="44"/>
      <c r="GZ111" s="44"/>
      <c r="HA111" s="44"/>
      <c r="HB111" s="44"/>
      <c r="HC111" s="44"/>
      <c r="HD111" s="44"/>
      <c r="HE111" s="44"/>
      <c r="HF111" s="44"/>
      <c r="HG111" s="44"/>
      <c r="HH111" s="44"/>
      <c r="HI111" s="44"/>
      <c r="HJ111" s="44"/>
      <c r="HK111" s="44"/>
      <c r="HL111" s="44"/>
      <c r="HM111" s="44"/>
      <c r="HN111" s="44"/>
      <c r="HO111" s="44"/>
      <c r="HP111" s="44"/>
      <c r="HQ111" s="44"/>
      <c r="HR111" s="44"/>
      <c r="HS111" s="44"/>
      <c r="HT111" s="44"/>
      <c r="HU111" s="44"/>
      <c r="HV111" s="44"/>
      <c r="HW111" s="44"/>
      <c r="HX111" s="44"/>
      <c r="HY111" s="44"/>
      <c r="HZ111" s="44"/>
      <c r="IA111" s="44"/>
      <c r="IB111" s="44"/>
      <c r="IC111" s="44"/>
      <c r="ID111" s="44"/>
      <c r="IE111" s="44"/>
      <c r="IF111" s="44"/>
      <c r="IG111" s="44"/>
      <c r="IH111" s="44"/>
      <c r="II111" s="44"/>
      <c r="IJ111" s="44"/>
      <c r="IK111" s="44"/>
      <c r="IL111" s="44"/>
      <c r="IM111" s="44"/>
      <c r="IN111" s="44"/>
      <c r="IO111" s="44"/>
      <c r="IP111" s="44"/>
      <c r="IQ111" s="44"/>
      <c r="IR111" s="44"/>
      <c r="IS111" s="44"/>
      <c r="IT111" s="44"/>
      <c r="IU111" s="44"/>
      <c r="IV111" s="44"/>
      <c r="IW111" s="44"/>
      <c r="IX111" s="44"/>
      <c r="IY111" s="44"/>
      <c r="IZ111" s="44"/>
      <c r="JA111" s="44"/>
      <c r="JB111" s="44"/>
      <c r="JC111" s="44"/>
      <c r="JD111" s="44"/>
      <c r="JE111" s="44"/>
      <c r="JF111" s="44"/>
      <c r="JG111" s="44"/>
      <c r="JH111" s="44"/>
      <c r="JI111" s="44"/>
      <c r="JJ111" s="44"/>
    </row>
    <row r="112" spans="1:270" ht="15.75" customHeight="1">
      <c r="A112" s="29">
        <v>6</v>
      </c>
      <c r="B112" s="21" t="s">
        <v>168</v>
      </c>
      <c r="C112" s="30" t="s">
        <v>169</v>
      </c>
      <c r="D112" s="21" t="s">
        <v>16</v>
      </c>
      <c r="E112" s="8"/>
      <c r="F112" s="123"/>
      <c r="G112" s="12"/>
      <c r="H112" s="8"/>
      <c r="I112" s="26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/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  <c r="JA112" s="44"/>
      <c r="JB112" s="44"/>
      <c r="JC112" s="44"/>
      <c r="JD112" s="44"/>
      <c r="JE112" s="44"/>
      <c r="JF112" s="44"/>
      <c r="JG112" s="44"/>
      <c r="JH112" s="44"/>
      <c r="JI112" s="44"/>
      <c r="JJ112" s="44"/>
    </row>
    <row r="113" spans="1:270" ht="15.75" customHeight="1">
      <c r="A113" s="8">
        <v>7</v>
      </c>
      <c r="B113" s="21" t="s">
        <v>170</v>
      </c>
      <c r="C113" s="30" t="s">
        <v>171</v>
      </c>
      <c r="D113" s="21" t="s">
        <v>172</v>
      </c>
      <c r="E113" s="8"/>
      <c r="F113" s="123"/>
      <c r="G113" s="12"/>
      <c r="H113" s="8"/>
      <c r="I113" s="26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/>
      <c r="DE113" s="44"/>
      <c r="DF113" s="44"/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/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  <c r="IW113" s="44"/>
      <c r="IX113" s="44"/>
      <c r="IY113" s="44"/>
      <c r="IZ113" s="44"/>
      <c r="JA113" s="44"/>
      <c r="JB113" s="44"/>
      <c r="JC113" s="44"/>
      <c r="JD113" s="44"/>
      <c r="JE113" s="44"/>
      <c r="JF113" s="44"/>
      <c r="JG113" s="44"/>
      <c r="JH113" s="44"/>
      <c r="JI113" s="44"/>
      <c r="JJ113" s="44"/>
    </row>
    <row r="114" spans="1:270" ht="15.75" customHeight="1">
      <c r="A114" s="29">
        <v>8</v>
      </c>
      <c r="B114" s="21" t="s">
        <v>173</v>
      </c>
      <c r="C114" s="30" t="s">
        <v>174</v>
      </c>
      <c r="D114" s="21" t="s">
        <v>19</v>
      </c>
      <c r="E114" s="8"/>
      <c r="F114" s="123"/>
      <c r="G114" s="12"/>
      <c r="H114" s="8"/>
      <c r="I114" s="26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/>
      <c r="BZ114" s="44"/>
      <c r="CA114" s="44"/>
      <c r="CB114" s="44"/>
      <c r="CC114" s="44"/>
      <c r="CD114" s="44"/>
      <c r="CE114" s="44"/>
      <c r="CF114" s="44"/>
      <c r="CG114" s="44"/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/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</row>
    <row r="115" spans="1:270" ht="15.75" customHeight="1">
      <c r="A115" s="8">
        <v>9</v>
      </c>
      <c r="B115" s="21" t="s">
        <v>175</v>
      </c>
      <c r="C115" s="30" t="s">
        <v>176</v>
      </c>
      <c r="D115" s="23" t="s">
        <v>16</v>
      </c>
      <c r="E115" s="11"/>
      <c r="F115" s="120"/>
      <c r="G115" s="12" t="s">
        <v>177</v>
      </c>
      <c r="H115" s="8"/>
      <c r="I115" s="26"/>
      <c r="J115" s="73"/>
      <c r="K115" s="73"/>
      <c r="L115" s="73"/>
      <c r="M115" s="73"/>
      <c r="N115" s="73"/>
      <c r="O115" s="73"/>
      <c r="P115" s="73"/>
      <c r="Q115" s="73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  <c r="CZ115" s="111"/>
      <c r="DA115" s="111"/>
      <c r="DB115" s="111"/>
      <c r="DC115" s="111"/>
      <c r="DD115" s="111"/>
      <c r="DE115" s="111"/>
      <c r="DF115" s="111"/>
      <c r="DG115" s="111"/>
      <c r="DH115" s="111"/>
      <c r="DI115" s="111"/>
      <c r="DJ115" s="111"/>
      <c r="DK115" s="111"/>
      <c r="DL115" s="111"/>
      <c r="DM115" s="111"/>
      <c r="DN115" s="111"/>
      <c r="DO115" s="111"/>
      <c r="DP115" s="111"/>
      <c r="DQ115" s="111"/>
      <c r="DR115" s="111"/>
      <c r="DS115" s="111"/>
      <c r="DT115" s="111"/>
      <c r="DU115" s="111"/>
      <c r="DV115" s="111"/>
      <c r="DW115" s="111"/>
      <c r="DX115" s="111"/>
      <c r="DY115" s="111"/>
      <c r="DZ115" s="111"/>
      <c r="EA115" s="111"/>
      <c r="EB115" s="111"/>
      <c r="EC115" s="111"/>
      <c r="ED115" s="111"/>
      <c r="EE115" s="111"/>
      <c r="EF115" s="111"/>
      <c r="EG115" s="111"/>
      <c r="EH115" s="111"/>
      <c r="EI115" s="111"/>
      <c r="EJ115" s="111"/>
      <c r="EK115" s="111"/>
      <c r="EL115" s="111"/>
      <c r="EM115" s="111"/>
      <c r="EN115" s="111"/>
      <c r="EO115" s="111"/>
      <c r="EP115" s="111"/>
      <c r="EQ115" s="111"/>
      <c r="ER115" s="111"/>
      <c r="ES115" s="111"/>
      <c r="ET115" s="111"/>
      <c r="EU115" s="111"/>
      <c r="EV115" s="111"/>
      <c r="EW115" s="111"/>
      <c r="EX115" s="111"/>
      <c r="EY115" s="111"/>
      <c r="EZ115" s="111"/>
      <c r="FA115" s="111"/>
      <c r="FB115" s="111"/>
      <c r="FC115" s="111"/>
      <c r="FD115" s="111"/>
      <c r="FE115" s="111"/>
      <c r="FF115" s="111"/>
      <c r="FG115" s="111"/>
      <c r="FH115" s="111"/>
      <c r="FI115" s="111"/>
      <c r="FJ115" s="111"/>
      <c r="FK115" s="111"/>
      <c r="FL115" s="111"/>
      <c r="FM115" s="111"/>
      <c r="FN115" s="111"/>
      <c r="FO115" s="111"/>
      <c r="FP115" s="111"/>
      <c r="FQ115" s="111"/>
      <c r="FR115" s="111"/>
      <c r="FS115" s="111"/>
      <c r="FT115" s="111"/>
      <c r="FU115" s="111"/>
      <c r="FV115" s="111"/>
      <c r="FW115" s="111"/>
      <c r="FX115" s="111"/>
      <c r="FY115" s="111"/>
      <c r="FZ115" s="111"/>
      <c r="GA115" s="111"/>
      <c r="GB115" s="111"/>
      <c r="GC115" s="111"/>
      <c r="GD115" s="111"/>
      <c r="GE115" s="111"/>
      <c r="GF115" s="111"/>
      <c r="GG115" s="111"/>
      <c r="GH115" s="111"/>
      <c r="GI115" s="111"/>
      <c r="GJ115" s="111"/>
      <c r="GK115" s="111"/>
      <c r="GL115" s="111"/>
      <c r="GM115" s="111"/>
      <c r="GN115" s="111"/>
      <c r="GO115" s="111"/>
      <c r="GP115" s="111"/>
      <c r="GQ115" s="111"/>
      <c r="GR115" s="111"/>
      <c r="GS115" s="111"/>
      <c r="GT115" s="111"/>
      <c r="GU115" s="111"/>
      <c r="GV115" s="111"/>
      <c r="GW115" s="111"/>
      <c r="GX115" s="111"/>
      <c r="GY115" s="111"/>
      <c r="GZ115" s="111"/>
      <c r="HA115" s="111"/>
      <c r="HB115" s="111"/>
      <c r="HC115" s="111"/>
      <c r="HD115" s="111"/>
      <c r="HE115" s="111"/>
      <c r="HF115" s="111"/>
      <c r="HG115" s="111"/>
      <c r="HH115" s="111"/>
      <c r="HI115" s="111"/>
      <c r="HJ115" s="111"/>
      <c r="HK115" s="111"/>
      <c r="HL115" s="111"/>
      <c r="HM115" s="111"/>
      <c r="HN115" s="111"/>
      <c r="HO115" s="111"/>
      <c r="HP115" s="111"/>
      <c r="HQ115" s="111"/>
      <c r="HR115" s="111"/>
      <c r="HS115" s="111"/>
      <c r="HT115" s="111"/>
      <c r="HU115" s="111"/>
      <c r="HV115" s="111"/>
      <c r="HW115" s="111"/>
      <c r="HX115" s="111"/>
      <c r="HY115" s="111"/>
      <c r="HZ115" s="111"/>
      <c r="IA115" s="111"/>
      <c r="IB115" s="111"/>
      <c r="IC115" s="111"/>
      <c r="ID115" s="111"/>
      <c r="IE115" s="111"/>
      <c r="IF115" s="111"/>
      <c r="IG115" s="111"/>
      <c r="IH115" s="111"/>
      <c r="II115" s="111"/>
      <c r="IJ115" s="111"/>
      <c r="IK115" s="111"/>
      <c r="IL115" s="111"/>
      <c r="IM115" s="111"/>
      <c r="IN115" s="111"/>
      <c r="IO115" s="111"/>
      <c r="IP115" s="111" t="e">
        <v>#REF!</v>
      </c>
      <c r="IQ115" s="111"/>
      <c r="IR115" s="111"/>
      <c r="IS115" s="111"/>
      <c r="IT115" s="111"/>
      <c r="IU115" s="111"/>
      <c r="IV115" s="111"/>
      <c r="IW115" s="111"/>
      <c r="IX115" s="44"/>
      <c r="IY115" s="44"/>
      <c r="IZ115" s="44"/>
      <c r="JA115" s="44"/>
      <c r="JB115" s="44"/>
      <c r="JC115" s="44"/>
      <c r="JD115" s="44"/>
      <c r="JE115" s="44"/>
      <c r="JF115" s="44"/>
      <c r="JG115" s="44"/>
      <c r="JH115" s="44"/>
      <c r="JI115" s="44"/>
      <c r="JJ115" s="44"/>
    </row>
    <row r="116" spans="1:270" ht="15.75" customHeight="1">
      <c r="A116" s="24"/>
      <c r="B116" s="25"/>
      <c r="C116" s="36" t="s">
        <v>27</v>
      </c>
      <c r="D116" s="36"/>
      <c r="E116" s="37">
        <f>SUM(E107:E115)</f>
        <v>4</v>
      </c>
      <c r="F116" s="36">
        <v>9</v>
      </c>
      <c r="G116" s="48"/>
      <c r="H116" s="14">
        <f>SUM(E116:F116)</f>
        <v>13</v>
      </c>
      <c r="I116" s="26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  <c r="CH116" s="41"/>
      <c r="CI116" s="41"/>
      <c r="CJ116" s="41"/>
      <c r="CK116" s="41"/>
      <c r="CL116" s="41"/>
      <c r="CM116" s="41"/>
      <c r="CN116" s="41"/>
      <c r="CO116" s="41"/>
      <c r="CP116" s="41"/>
      <c r="CQ116" s="41"/>
      <c r="CR116" s="41"/>
      <c r="CS116" s="41"/>
      <c r="CT116" s="41"/>
      <c r="CU116" s="41"/>
      <c r="CV116" s="41"/>
      <c r="CW116" s="41"/>
      <c r="CX116" s="41"/>
      <c r="CY116" s="41"/>
      <c r="CZ116" s="41"/>
      <c r="DA116" s="41"/>
      <c r="DB116" s="41"/>
      <c r="DC116" s="41"/>
      <c r="DD116" s="41"/>
      <c r="DE116" s="41"/>
      <c r="DF116" s="41"/>
      <c r="DG116" s="41"/>
      <c r="DH116" s="41"/>
      <c r="DI116" s="41"/>
      <c r="DJ116" s="41"/>
      <c r="DK116" s="41"/>
      <c r="DL116" s="41"/>
      <c r="DM116" s="41"/>
      <c r="DN116" s="41"/>
      <c r="DO116" s="41"/>
      <c r="DP116" s="41"/>
      <c r="DQ116" s="41"/>
      <c r="DR116" s="41"/>
      <c r="DS116" s="41"/>
      <c r="DT116" s="41"/>
      <c r="DU116" s="41"/>
      <c r="DV116" s="41"/>
      <c r="DW116" s="41"/>
      <c r="DX116" s="41"/>
      <c r="DY116" s="41"/>
      <c r="DZ116" s="41"/>
      <c r="EA116" s="41"/>
      <c r="EB116" s="41"/>
      <c r="EC116" s="41"/>
      <c r="ED116" s="41"/>
      <c r="EE116" s="41"/>
      <c r="EF116" s="41"/>
      <c r="EG116" s="41"/>
      <c r="EH116" s="41"/>
      <c r="EI116" s="41"/>
      <c r="EJ116" s="41"/>
      <c r="EK116" s="41"/>
      <c r="EL116" s="41"/>
      <c r="EM116" s="41"/>
      <c r="EN116" s="41"/>
      <c r="EO116" s="41"/>
      <c r="EP116" s="41"/>
      <c r="EQ116" s="41"/>
      <c r="ER116" s="41"/>
      <c r="ES116" s="41"/>
      <c r="ET116" s="41"/>
      <c r="EU116" s="41"/>
      <c r="EV116" s="41"/>
      <c r="EW116" s="41"/>
      <c r="EX116" s="41"/>
      <c r="EY116" s="41"/>
      <c r="EZ116" s="41"/>
      <c r="FA116" s="41"/>
      <c r="FB116" s="41"/>
      <c r="FC116" s="41"/>
      <c r="FD116" s="41"/>
      <c r="FE116" s="41"/>
      <c r="FF116" s="41"/>
      <c r="FG116" s="41"/>
      <c r="FH116" s="41"/>
      <c r="FI116" s="41"/>
      <c r="FJ116" s="41"/>
      <c r="FK116" s="41"/>
      <c r="FL116" s="41"/>
      <c r="FM116" s="41"/>
      <c r="FN116" s="41"/>
      <c r="FO116" s="41"/>
      <c r="FP116" s="41"/>
      <c r="FQ116" s="41"/>
      <c r="FR116" s="41"/>
      <c r="FS116" s="41"/>
      <c r="FT116" s="41"/>
      <c r="FU116" s="41"/>
      <c r="FV116" s="41"/>
      <c r="FW116" s="41"/>
      <c r="FX116" s="41"/>
      <c r="FY116" s="41"/>
      <c r="FZ116" s="41"/>
      <c r="GA116" s="41"/>
      <c r="GB116" s="41"/>
      <c r="GC116" s="41"/>
      <c r="GD116" s="41"/>
      <c r="GE116" s="41"/>
      <c r="GF116" s="41"/>
      <c r="GG116" s="41"/>
      <c r="GH116" s="41"/>
      <c r="GI116" s="41"/>
      <c r="GJ116" s="41"/>
      <c r="GK116" s="41"/>
      <c r="GL116" s="41"/>
      <c r="GM116" s="41"/>
      <c r="GN116" s="41"/>
      <c r="GO116" s="41"/>
      <c r="GP116" s="41"/>
      <c r="GQ116" s="41"/>
      <c r="GR116" s="41"/>
      <c r="GS116" s="41"/>
      <c r="GT116" s="41"/>
      <c r="GU116" s="41"/>
      <c r="GV116" s="41"/>
      <c r="GW116" s="41"/>
      <c r="GX116" s="41"/>
      <c r="GY116" s="41"/>
      <c r="GZ116" s="41"/>
      <c r="HA116" s="41"/>
      <c r="HB116" s="41"/>
      <c r="HC116" s="41"/>
      <c r="HD116" s="41"/>
      <c r="HE116" s="41"/>
      <c r="HF116" s="41"/>
      <c r="HG116" s="41"/>
      <c r="HH116" s="41"/>
      <c r="HI116" s="41"/>
      <c r="HJ116" s="41"/>
      <c r="HK116" s="41"/>
      <c r="HL116" s="41"/>
      <c r="HM116" s="41"/>
      <c r="HN116" s="41"/>
      <c r="HO116" s="41"/>
      <c r="HP116" s="41"/>
      <c r="HQ116" s="41"/>
      <c r="HR116" s="41"/>
      <c r="HS116" s="41"/>
      <c r="HT116" s="41"/>
      <c r="HU116" s="41"/>
      <c r="HV116" s="41"/>
      <c r="HW116" s="41"/>
      <c r="HX116" s="41"/>
      <c r="HY116" s="41"/>
      <c r="HZ116" s="41"/>
      <c r="IA116" s="41"/>
      <c r="IB116" s="41"/>
      <c r="IC116" s="41"/>
      <c r="ID116" s="41"/>
      <c r="IE116" s="41"/>
      <c r="IF116" s="41"/>
      <c r="IG116" s="41"/>
      <c r="IH116" s="41"/>
      <c r="II116" s="41"/>
      <c r="IJ116" s="41"/>
      <c r="IK116" s="41"/>
      <c r="IL116" s="41"/>
      <c r="IM116" s="41"/>
      <c r="IN116" s="41"/>
      <c r="IO116" s="41"/>
      <c r="IP116" s="41"/>
      <c r="IQ116" s="41"/>
      <c r="IR116" s="41"/>
      <c r="IS116" s="41"/>
      <c r="IT116" s="41"/>
      <c r="IU116" s="41"/>
      <c r="IV116" s="41"/>
      <c r="IW116" s="4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</row>
    <row r="117" spans="1:270" ht="15.75" customHeight="1">
      <c r="A117" s="22"/>
      <c r="B117" s="23"/>
      <c r="C117" s="58"/>
      <c r="D117" s="23"/>
      <c r="E117" s="23"/>
      <c r="F117" s="23"/>
      <c r="G117" s="67"/>
      <c r="H117" s="23"/>
      <c r="I117" s="26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  <c r="CH117" s="41"/>
      <c r="CI117" s="41"/>
      <c r="CJ117" s="41"/>
      <c r="CK117" s="41"/>
      <c r="CL117" s="41"/>
      <c r="CM117" s="41"/>
      <c r="CN117" s="41"/>
      <c r="CO117" s="41"/>
      <c r="CP117" s="41"/>
      <c r="CQ117" s="41"/>
      <c r="CR117" s="41"/>
      <c r="CS117" s="41"/>
      <c r="CT117" s="41"/>
      <c r="CU117" s="41"/>
      <c r="CV117" s="41"/>
      <c r="CW117" s="41"/>
      <c r="CX117" s="41"/>
      <c r="CY117" s="41"/>
      <c r="CZ117" s="41"/>
      <c r="DA117" s="41"/>
      <c r="DB117" s="41"/>
      <c r="DC117" s="41"/>
      <c r="DD117" s="41"/>
      <c r="DE117" s="41"/>
      <c r="DF117" s="41"/>
      <c r="DG117" s="41"/>
      <c r="DH117" s="41"/>
      <c r="DI117" s="41"/>
      <c r="DJ117" s="41"/>
      <c r="DK117" s="41"/>
      <c r="DL117" s="41"/>
      <c r="DM117" s="41"/>
      <c r="DN117" s="41"/>
      <c r="DO117" s="41"/>
      <c r="DP117" s="41"/>
      <c r="DQ117" s="41"/>
      <c r="DR117" s="41"/>
      <c r="DS117" s="41"/>
      <c r="DT117" s="41"/>
      <c r="DU117" s="41"/>
      <c r="DV117" s="41"/>
      <c r="DW117" s="41"/>
      <c r="DX117" s="41"/>
      <c r="DY117" s="41"/>
      <c r="DZ117" s="41"/>
      <c r="EA117" s="41"/>
      <c r="EB117" s="41"/>
      <c r="EC117" s="41"/>
      <c r="ED117" s="41"/>
      <c r="EE117" s="41"/>
      <c r="EF117" s="41"/>
      <c r="EG117" s="41"/>
      <c r="EH117" s="41"/>
      <c r="EI117" s="41"/>
      <c r="EJ117" s="41"/>
      <c r="EK117" s="41"/>
      <c r="EL117" s="41"/>
      <c r="EM117" s="41"/>
      <c r="EN117" s="41"/>
      <c r="EO117" s="41"/>
      <c r="EP117" s="41"/>
      <c r="EQ117" s="41"/>
      <c r="ER117" s="41"/>
      <c r="ES117" s="41"/>
      <c r="ET117" s="41"/>
      <c r="EU117" s="41"/>
      <c r="EV117" s="41"/>
      <c r="EW117" s="41"/>
      <c r="EX117" s="41"/>
      <c r="EY117" s="41"/>
      <c r="EZ117" s="41"/>
      <c r="FA117" s="41"/>
      <c r="FB117" s="41"/>
      <c r="FC117" s="41"/>
      <c r="FD117" s="41"/>
      <c r="FE117" s="41"/>
      <c r="FF117" s="41"/>
      <c r="FG117" s="41"/>
      <c r="FH117" s="41"/>
      <c r="FI117" s="41"/>
      <c r="FJ117" s="41"/>
      <c r="FK117" s="41"/>
      <c r="FL117" s="41"/>
      <c r="FM117" s="41"/>
      <c r="FN117" s="41"/>
      <c r="FO117" s="41"/>
      <c r="FP117" s="41"/>
      <c r="FQ117" s="41"/>
      <c r="FR117" s="41"/>
      <c r="FS117" s="41"/>
      <c r="FT117" s="41"/>
      <c r="FU117" s="41"/>
      <c r="FV117" s="41"/>
      <c r="FW117" s="41"/>
      <c r="FX117" s="41"/>
      <c r="FY117" s="41"/>
      <c r="FZ117" s="41"/>
      <c r="GA117" s="41"/>
      <c r="GB117" s="41"/>
      <c r="GC117" s="41"/>
      <c r="GD117" s="41"/>
      <c r="GE117" s="41"/>
      <c r="GF117" s="41"/>
      <c r="GG117" s="41"/>
      <c r="GH117" s="41"/>
      <c r="GI117" s="41"/>
      <c r="GJ117" s="41"/>
      <c r="GK117" s="41"/>
      <c r="GL117" s="41"/>
      <c r="GM117" s="41"/>
      <c r="GN117" s="41"/>
      <c r="GO117" s="41"/>
      <c r="GP117" s="41"/>
      <c r="GQ117" s="41"/>
      <c r="GR117" s="41"/>
      <c r="GS117" s="41"/>
      <c r="GT117" s="41"/>
      <c r="GU117" s="41"/>
      <c r="GV117" s="41"/>
      <c r="GW117" s="41"/>
      <c r="GX117" s="41"/>
      <c r="GY117" s="41"/>
      <c r="GZ117" s="41"/>
      <c r="HA117" s="41"/>
      <c r="HB117" s="41"/>
      <c r="HC117" s="41"/>
      <c r="HD117" s="41"/>
      <c r="HE117" s="41"/>
      <c r="HF117" s="41"/>
      <c r="HG117" s="41"/>
      <c r="HH117" s="41"/>
      <c r="HI117" s="41"/>
      <c r="HJ117" s="41"/>
      <c r="HK117" s="41"/>
      <c r="HL117" s="41"/>
      <c r="HM117" s="41"/>
      <c r="HN117" s="41"/>
      <c r="HO117" s="41"/>
      <c r="HP117" s="41"/>
      <c r="HQ117" s="41"/>
      <c r="HR117" s="41"/>
      <c r="HS117" s="41"/>
      <c r="HT117" s="41"/>
      <c r="HU117" s="41"/>
      <c r="HV117" s="41"/>
      <c r="HW117" s="41"/>
      <c r="HX117" s="41"/>
      <c r="HY117" s="41"/>
      <c r="HZ117" s="41"/>
      <c r="IA117" s="41"/>
      <c r="IB117" s="41"/>
      <c r="IC117" s="41"/>
      <c r="ID117" s="41"/>
      <c r="IE117" s="41"/>
      <c r="IF117" s="41"/>
      <c r="IG117" s="41"/>
      <c r="IH117" s="41"/>
      <c r="II117" s="41"/>
      <c r="IJ117" s="41"/>
      <c r="IK117" s="41"/>
      <c r="IL117" s="41"/>
      <c r="IM117" s="41"/>
      <c r="IN117" s="41"/>
      <c r="IO117" s="41"/>
      <c r="IP117" s="41"/>
      <c r="IQ117" s="41"/>
      <c r="IR117" s="41"/>
      <c r="IS117" s="41"/>
      <c r="IT117" s="41"/>
      <c r="IU117" s="41"/>
      <c r="IV117" s="41"/>
      <c r="IW117" s="4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</row>
    <row r="118" spans="1:270" ht="15.75" customHeight="1">
      <c r="A118" s="106" t="s">
        <v>178</v>
      </c>
      <c r="B118" s="107"/>
      <c r="C118" s="107"/>
      <c r="D118" s="107"/>
      <c r="E118" s="107"/>
      <c r="F118" s="107"/>
      <c r="G118" s="107"/>
      <c r="H118" s="108"/>
      <c r="I118" s="2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</row>
    <row r="119" spans="1:270" ht="15.75" customHeight="1">
      <c r="A119" s="109" t="s">
        <v>179</v>
      </c>
      <c r="B119" s="107"/>
      <c r="C119" s="107"/>
      <c r="D119" s="107"/>
      <c r="E119" s="107"/>
      <c r="F119" s="107"/>
      <c r="G119" s="107"/>
      <c r="H119" s="108"/>
      <c r="I119" s="17"/>
      <c r="J119" s="17"/>
      <c r="K119" s="17"/>
      <c r="L119" s="17"/>
      <c r="M119" s="47"/>
      <c r="N119" s="69"/>
      <c r="O119" s="17"/>
      <c r="P119" s="17"/>
      <c r="Q119" s="17"/>
      <c r="R119" s="47"/>
      <c r="S119" s="17"/>
      <c r="T119" s="69"/>
      <c r="U119" s="17"/>
      <c r="V119" s="17"/>
      <c r="W119" s="17"/>
      <c r="X119" s="47"/>
      <c r="Y119" s="17"/>
      <c r="Z119" s="69"/>
      <c r="AA119" s="17"/>
      <c r="AB119" s="17"/>
      <c r="AC119" s="17"/>
      <c r="AD119" s="47"/>
      <c r="AE119" s="17"/>
      <c r="AF119" s="69"/>
      <c r="AG119" s="17"/>
      <c r="AH119" s="17"/>
      <c r="AI119" s="17"/>
      <c r="AJ119" s="47"/>
      <c r="AK119" s="17"/>
      <c r="AL119" s="69"/>
      <c r="AM119" s="17"/>
      <c r="AN119" s="17"/>
      <c r="AO119" s="17"/>
      <c r="AP119" s="47"/>
      <c r="AQ119" s="17"/>
      <c r="AR119" s="69"/>
      <c r="AS119" s="17"/>
      <c r="AT119" s="17"/>
      <c r="AU119" s="17"/>
      <c r="AV119" s="47"/>
      <c r="AW119" s="36"/>
      <c r="AX119" s="24"/>
      <c r="AY119" s="25"/>
      <c r="AZ119" s="36"/>
      <c r="BA119" s="36"/>
      <c r="BB119" s="37"/>
      <c r="BC119" s="36"/>
      <c r="BD119" s="24"/>
      <c r="BE119" s="25"/>
      <c r="BF119" s="36"/>
      <c r="BG119" s="36"/>
      <c r="BH119" s="37"/>
      <c r="BI119" s="36"/>
      <c r="BJ119" s="24"/>
      <c r="BK119" s="25"/>
      <c r="BL119" s="36"/>
      <c r="BM119" s="36"/>
      <c r="BN119" s="37"/>
      <c r="BO119" s="36"/>
      <c r="BP119" s="24"/>
      <c r="BQ119" s="25"/>
      <c r="BR119" s="36"/>
      <c r="BS119" s="36"/>
      <c r="BT119" s="37"/>
      <c r="BU119" s="36"/>
      <c r="BV119" s="24"/>
      <c r="BW119" s="25"/>
      <c r="BX119" s="36"/>
      <c r="BY119" s="36"/>
      <c r="BZ119" s="37"/>
      <c r="CA119" s="36"/>
      <c r="CB119" s="24"/>
      <c r="CC119" s="25"/>
      <c r="CD119" s="36"/>
      <c r="CE119" s="36"/>
      <c r="CF119" s="37"/>
      <c r="CG119" s="36"/>
      <c r="CH119" s="24"/>
      <c r="CI119" s="25"/>
      <c r="CJ119" s="36"/>
      <c r="CK119" s="36"/>
      <c r="CL119" s="37"/>
      <c r="CM119" s="36"/>
      <c r="CN119" s="24"/>
      <c r="CO119" s="25"/>
      <c r="CP119" s="36"/>
      <c r="CQ119" s="36"/>
      <c r="CR119" s="37"/>
      <c r="CS119" s="36"/>
      <c r="CT119" s="24"/>
      <c r="CU119" s="25"/>
      <c r="CV119" s="36"/>
      <c r="CW119" s="36"/>
      <c r="CX119" s="37"/>
      <c r="CY119" s="36"/>
      <c r="CZ119" s="24"/>
      <c r="DA119" s="25"/>
      <c r="DB119" s="36"/>
      <c r="DC119" s="36"/>
      <c r="DD119" s="37"/>
      <c r="DE119" s="36"/>
      <c r="DF119" s="24"/>
      <c r="DG119" s="25"/>
      <c r="DH119" s="36"/>
      <c r="DI119" s="36"/>
      <c r="DJ119" s="37"/>
      <c r="DK119" s="36"/>
      <c r="DL119" s="24"/>
      <c r="DM119" s="25"/>
      <c r="DN119" s="36"/>
      <c r="DO119" s="36"/>
      <c r="DP119" s="37"/>
      <c r="DQ119" s="36"/>
      <c r="DR119" s="24"/>
      <c r="DS119" s="25"/>
      <c r="DT119" s="36"/>
      <c r="DU119" s="36"/>
      <c r="DV119" s="37"/>
      <c r="DW119" s="36"/>
      <c r="DX119" s="24"/>
      <c r="DY119" s="25"/>
      <c r="DZ119" s="36"/>
      <c r="EA119" s="36"/>
      <c r="EB119" s="37"/>
      <c r="EC119" s="36"/>
      <c r="ED119" s="24"/>
      <c r="EE119" s="25"/>
      <c r="EF119" s="36"/>
      <c r="EG119" s="36"/>
      <c r="EH119" s="37"/>
      <c r="EI119" s="36"/>
      <c r="EJ119" s="24"/>
      <c r="EK119" s="25"/>
      <c r="EL119" s="36"/>
      <c r="EM119" s="36"/>
      <c r="EN119" s="37"/>
      <c r="EO119" s="36"/>
      <c r="EP119" s="24"/>
      <c r="EQ119" s="25"/>
      <c r="ER119" s="36"/>
      <c r="ES119" s="36"/>
      <c r="ET119" s="37"/>
      <c r="EU119" s="36"/>
      <c r="EV119" s="24"/>
      <c r="EW119" s="25"/>
      <c r="EX119" s="36"/>
      <c r="EY119" s="36"/>
      <c r="EZ119" s="37"/>
      <c r="FA119" s="36"/>
      <c r="FB119" s="24"/>
      <c r="FC119" s="25"/>
      <c r="FD119" s="36"/>
      <c r="FE119" s="36"/>
      <c r="FF119" s="37"/>
      <c r="FG119" s="36"/>
      <c r="FH119" s="24"/>
      <c r="FI119" s="25"/>
      <c r="FJ119" s="36"/>
      <c r="FK119" s="36"/>
      <c r="FL119" s="37"/>
      <c r="FM119" s="36"/>
      <c r="FN119" s="24"/>
      <c r="FO119" s="25"/>
      <c r="FP119" s="36"/>
      <c r="FQ119" s="36"/>
      <c r="FR119" s="37"/>
      <c r="FS119" s="36"/>
      <c r="FT119" s="24"/>
      <c r="FU119" s="25"/>
      <c r="FV119" s="36"/>
      <c r="FW119" s="36"/>
      <c r="FX119" s="37"/>
      <c r="FY119" s="36"/>
      <c r="FZ119" s="24"/>
      <c r="GA119" s="25"/>
      <c r="GB119" s="36"/>
      <c r="GC119" s="36"/>
      <c r="GD119" s="37"/>
      <c r="GE119" s="36"/>
      <c r="GF119" s="24"/>
      <c r="GG119" s="25"/>
      <c r="GH119" s="36"/>
      <c r="GI119" s="36"/>
      <c r="GJ119" s="37"/>
      <c r="GK119" s="36"/>
      <c r="GL119" s="24"/>
      <c r="GM119" s="25"/>
      <c r="GN119" s="36"/>
      <c r="GO119" s="36"/>
      <c r="GP119" s="37"/>
      <c r="GQ119" s="36"/>
      <c r="GR119" s="24"/>
      <c r="GS119" s="25"/>
      <c r="GT119" s="36"/>
      <c r="GU119" s="36"/>
      <c r="GV119" s="37"/>
      <c r="GW119" s="36"/>
      <c r="GX119" s="24"/>
      <c r="GY119" s="25"/>
      <c r="GZ119" s="36"/>
      <c r="HA119" s="36"/>
      <c r="HB119" s="37"/>
      <c r="HC119" s="36"/>
      <c r="HD119" s="24"/>
      <c r="HE119" s="25"/>
      <c r="HF119" s="36"/>
      <c r="HG119" s="36"/>
      <c r="HH119" s="37"/>
      <c r="HI119" s="36"/>
      <c r="HJ119" s="24"/>
      <c r="HK119" s="25"/>
      <c r="HL119" s="36"/>
      <c r="HM119" s="36"/>
      <c r="HN119" s="37"/>
      <c r="HO119" s="36"/>
      <c r="HP119" s="24"/>
      <c r="HQ119" s="25"/>
      <c r="HR119" s="36"/>
      <c r="HS119" s="36"/>
      <c r="HT119" s="37"/>
      <c r="HU119" s="36"/>
      <c r="HV119" s="24"/>
      <c r="HW119" s="25"/>
      <c r="HX119" s="36"/>
      <c r="HY119" s="36"/>
      <c r="HZ119" s="37"/>
      <c r="IA119" s="36"/>
      <c r="IB119" s="24"/>
      <c r="IC119" s="25"/>
      <c r="ID119" s="36"/>
      <c r="IE119" s="36"/>
      <c r="IF119" s="37"/>
      <c r="IG119" s="36"/>
      <c r="IH119" s="24"/>
      <c r="II119" s="25"/>
      <c r="IJ119" s="36"/>
      <c r="IK119" s="36"/>
      <c r="IL119" s="37"/>
      <c r="IM119" s="36"/>
      <c r="IN119" s="24"/>
      <c r="IO119" s="25"/>
      <c r="IP119" s="36"/>
      <c r="IQ119" s="36"/>
      <c r="IR119" s="37"/>
      <c r="IS119" s="36"/>
      <c r="IT119" s="24"/>
      <c r="IU119" s="25"/>
      <c r="IV119" s="36"/>
      <c r="IW119" s="36"/>
      <c r="IX119" s="37"/>
      <c r="IY119" s="36"/>
      <c r="IZ119" s="24"/>
      <c r="JA119" s="25"/>
      <c r="JB119" s="36"/>
      <c r="JC119" s="36"/>
      <c r="JD119" s="37"/>
      <c r="JE119" s="36"/>
      <c r="JF119" s="24"/>
      <c r="JG119" s="25"/>
      <c r="JH119" s="36"/>
      <c r="JI119" s="36"/>
      <c r="JJ119" s="37"/>
    </row>
    <row r="120" spans="1:270" ht="15.75" customHeight="1">
      <c r="A120" s="7" t="s">
        <v>6</v>
      </c>
      <c r="B120" s="7" t="s">
        <v>7</v>
      </c>
      <c r="C120" s="7" t="s">
        <v>8</v>
      </c>
      <c r="D120" s="7" t="s">
        <v>9</v>
      </c>
      <c r="E120" s="7" t="s">
        <v>10</v>
      </c>
      <c r="F120" s="7" t="s">
        <v>11</v>
      </c>
      <c r="G120" s="7" t="s">
        <v>12</v>
      </c>
      <c r="H120" s="7" t="s">
        <v>13</v>
      </c>
      <c r="I120" s="2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</row>
    <row r="121" spans="1:270" ht="15.75" customHeight="1">
      <c r="A121" s="8">
        <v>1</v>
      </c>
      <c r="B121" s="8" t="s">
        <v>180</v>
      </c>
      <c r="C121" s="9" t="s">
        <v>181</v>
      </c>
      <c r="D121" s="8" t="s">
        <v>61</v>
      </c>
      <c r="E121" s="8">
        <v>2</v>
      </c>
      <c r="F121" s="8"/>
      <c r="G121" s="12"/>
      <c r="H121" s="8"/>
      <c r="I121" s="7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</row>
    <row r="122" spans="1:270" ht="15.75" customHeight="1">
      <c r="A122" s="29">
        <v>2</v>
      </c>
      <c r="B122" s="21" t="s">
        <v>182</v>
      </c>
      <c r="C122" s="30" t="s">
        <v>183</v>
      </c>
      <c r="D122" s="21" t="s">
        <v>16</v>
      </c>
      <c r="E122" s="8">
        <v>3</v>
      </c>
      <c r="F122" s="8"/>
      <c r="G122" s="68" t="s">
        <v>82</v>
      </c>
      <c r="H122" s="8"/>
      <c r="I122" s="7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</row>
    <row r="123" spans="1:270" ht="15.75" customHeight="1">
      <c r="A123" s="8">
        <v>3</v>
      </c>
      <c r="B123" s="8" t="s">
        <v>184</v>
      </c>
      <c r="C123" s="9" t="s">
        <v>185</v>
      </c>
      <c r="D123" s="8" t="s">
        <v>61</v>
      </c>
      <c r="E123" s="8">
        <v>2</v>
      </c>
      <c r="F123" s="8"/>
      <c r="G123" s="12"/>
      <c r="H123" s="8"/>
      <c r="I123" s="75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6"/>
      <c r="BV123" s="76"/>
      <c r="BW123" s="76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6"/>
      <c r="CT123" s="76"/>
      <c r="CU123" s="76"/>
      <c r="CV123" s="76"/>
      <c r="CW123" s="76"/>
      <c r="CX123" s="76"/>
      <c r="CY123" s="76"/>
      <c r="CZ123" s="76"/>
      <c r="DA123" s="76"/>
      <c r="DB123" s="76"/>
      <c r="DC123" s="76"/>
      <c r="DD123" s="76"/>
      <c r="DE123" s="76"/>
      <c r="DF123" s="76"/>
      <c r="DG123" s="76"/>
      <c r="DH123" s="76"/>
      <c r="DI123" s="76"/>
      <c r="DJ123" s="76"/>
      <c r="DK123" s="76"/>
      <c r="DL123" s="76"/>
      <c r="DM123" s="76"/>
      <c r="DN123" s="76"/>
      <c r="DO123" s="76"/>
      <c r="DP123" s="76"/>
      <c r="DQ123" s="76"/>
      <c r="DR123" s="76"/>
      <c r="DS123" s="76"/>
      <c r="DT123" s="76"/>
      <c r="DU123" s="76"/>
      <c r="DV123" s="76"/>
      <c r="DW123" s="76"/>
      <c r="DX123" s="76"/>
      <c r="DY123" s="76"/>
      <c r="DZ123" s="76"/>
      <c r="EA123" s="76"/>
      <c r="EB123" s="76"/>
      <c r="EC123" s="76"/>
      <c r="ED123" s="76"/>
      <c r="EE123" s="76"/>
      <c r="EF123" s="76"/>
      <c r="EG123" s="76"/>
      <c r="EH123" s="76"/>
      <c r="EI123" s="76"/>
      <c r="EJ123" s="76"/>
      <c r="EK123" s="76"/>
      <c r="EL123" s="76"/>
      <c r="EM123" s="76"/>
      <c r="EN123" s="76"/>
      <c r="EO123" s="76"/>
      <c r="EP123" s="76"/>
      <c r="EQ123" s="76"/>
      <c r="ER123" s="76"/>
      <c r="ES123" s="76"/>
      <c r="ET123" s="76"/>
      <c r="EU123" s="76"/>
      <c r="EV123" s="76"/>
      <c r="EW123" s="76"/>
      <c r="EX123" s="76"/>
      <c r="EY123" s="76"/>
      <c r="EZ123" s="76"/>
      <c r="FA123" s="76"/>
      <c r="FB123" s="76"/>
      <c r="FC123" s="76"/>
      <c r="FD123" s="76"/>
      <c r="FE123" s="76"/>
      <c r="FF123" s="76"/>
      <c r="FG123" s="76"/>
      <c r="FH123" s="76"/>
      <c r="FI123" s="76"/>
      <c r="FJ123" s="76"/>
      <c r="FK123" s="76"/>
      <c r="FL123" s="76"/>
      <c r="FM123" s="76"/>
      <c r="FN123" s="76"/>
      <c r="FO123" s="76"/>
      <c r="FP123" s="76"/>
      <c r="FQ123" s="76"/>
      <c r="FR123" s="76"/>
      <c r="FS123" s="76"/>
      <c r="FT123" s="76"/>
      <c r="FU123" s="76"/>
      <c r="FV123" s="76"/>
      <c r="FW123" s="76"/>
      <c r="FX123" s="76"/>
      <c r="FY123" s="76"/>
      <c r="FZ123" s="76"/>
      <c r="GA123" s="76"/>
      <c r="GB123" s="76"/>
      <c r="GC123" s="76"/>
      <c r="GD123" s="76"/>
      <c r="GE123" s="76"/>
      <c r="GF123" s="76"/>
      <c r="GG123" s="76"/>
      <c r="GH123" s="76"/>
      <c r="GI123" s="76"/>
      <c r="GJ123" s="76"/>
      <c r="GK123" s="76"/>
      <c r="GL123" s="76"/>
      <c r="GM123" s="76"/>
      <c r="GN123" s="76"/>
      <c r="GO123" s="76"/>
      <c r="GP123" s="76"/>
      <c r="GQ123" s="76"/>
      <c r="GR123" s="76"/>
      <c r="GS123" s="76"/>
      <c r="GT123" s="76"/>
      <c r="GU123" s="76"/>
      <c r="GV123" s="76"/>
      <c r="GW123" s="76"/>
      <c r="GX123" s="76"/>
      <c r="GY123" s="76"/>
      <c r="GZ123" s="76"/>
      <c r="HA123" s="76"/>
      <c r="HB123" s="76"/>
      <c r="HC123" s="76"/>
      <c r="HD123" s="76"/>
      <c r="HE123" s="76"/>
      <c r="HF123" s="76"/>
      <c r="HG123" s="76"/>
      <c r="HH123" s="76"/>
      <c r="HI123" s="76"/>
      <c r="HJ123" s="76"/>
      <c r="HK123" s="76"/>
      <c r="HL123" s="76"/>
      <c r="HM123" s="76"/>
      <c r="HN123" s="76"/>
      <c r="HO123" s="76"/>
      <c r="HP123" s="76"/>
      <c r="HQ123" s="76"/>
      <c r="HR123" s="76"/>
      <c r="HS123" s="76"/>
      <c r="HT123" s="76"/>
      <c r="HU123" s="76"/>
      <c r="HV123" s="76"/>
      <c r="HW123" s="76"/>
      <c r="HX123" s="76"/>
      <c r="HY123" s="76"/>
      <c r="HZ123" s="76"/>
      <c r="IA123" s="76"/>
      <c r="IB123" s="76"/>
      <c r="IC123" s="76"/>
      <c r="ID123" s="76"/>
      <c r="IE123" s="76"/>
      <c r="IF123" s="76"/>
      <c r="IG123" s="76"/>
      <c r="IH123" s="76"/>
      <c r="II123" s="76"/>
      <c r="IJ123" s="76"/>
      <c r="IK123" s="76"/>
      <c r="IL123" s="76"/>
      <c r="IM123" s="76"/>
      <c r="IN123" s="76"/>
      <c r="IO123" s="76"/>
      <c r="IP123" s="76"/>
      <c r="IQ123" s="76"/>
      <c r="IR123" s="76"/>
      <c r="IS123" s="76"/>
      <c r="IT123" s="76"/>
      <c r="IU123" s="76"/>
      <c r="IV123" s="76"/>
      <c r="IW123" s="76"/>
      <c r="IX123" s="76"/>
      <c r="IY123" s="76"/>
      <c r="IZ123" s="76"/>
      <c r="JA123" s="76"/>
      <c r="JB123" s="76"/>
      <c r="JC123" s="76"/>
      <c r="JD123" s="76"/>
      <c r="JE123" s="76"/>
      <c r="JF123" s="76"/>
      <c r="JG123" s="76"/>
      <c r="JH123" s="76"/>
      <c r="JI123" s="76"/>
      <c r="JJ123" s="76"/>
    </row>
    <row r="124" spans="1:270" ht="15.75" customHeight="1">
      <c r="A124" s="8">
        <v>4</v>
      </c>
      <c r="B124" s="8" t="s">
        <v>186</v>
      </c>
      <c r="C124" s="9" t="s">
        <v>187</v>
      </c>
      <c r="D124" s="8" t="s">
        <v>16</v>
      </c>
      <c r="E124" s="8">
        <v>3</v>
      </c>
      <c r="F124" s="8"/>
      <c r="G124" s="12" t="s">
        <v>188</v>
      </c>
      <c r="H124" s="8"/>
      <c r="I124" s="26"/>
      <c r="J124" s="1"/>
      <c r="K124" s="1"/>
      <c r="L124" s="1"/>
      <c r="M124" s="1"/>
      <c r="N124" s="1"/>
      <c r="O124" s="77"/>
      <c r="P124" s="77"/>
      <c r="Q124" s="77"/>
      <c r="R124" s="77"/>
      <c r="S124" s="77"/>
      <c r="T124" s="77"/>
      <c r="U124" s="77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</row>
    <row r="125" spans="1:270" ht="15.75" customHeight="1">
      <c r="A125" s="8">
        <v>5</v>
      </c>
      <c r="B125" s="8" t="s">
        <v>189</v>
      </c>
      <c r="C125" s="9" t="s">
        <v>190</v>
      </c>
      <c r="D125" s="8" t="s">
        <v>61</v>
      </c>
      <c r="E125" s="8">
        <v>2</v>
      </c>
      <c r="F125" s="8"/>
      <c r="G125" s="101" t="s">
        <v>191</v>
      </c>
      <c r="H125" s="8"/>
      <c r="I125" s="2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</row>
    <row r="126" spans="1:270" ht="15.75" customHeight="1">
      <c r="A126" s="48"/>
      <c r="B126" s="14"/>
      <c r="C126" s="14" t="s">
        <v>27</v>
      </c>
      <c r="D126" s="14"/>
      <c r="E126" s="59">
        <f>SUM(E121:E125)</f>
        <v>12</v>
      </c>
      <c r="F126" s="14"/>
      <c r="G126" s="48"/>
      <c r="H126" s="14">
        <f>SUM(E126:F126)</f>
        <v>12</v>
      </c>
      <c r="I126" s="2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</row>
    <row r="127" spans="1:270" ht="15.75" customHeight="1">
      <c r="A127" s="8"/>
      <c r="B127" s="8"/>
      <c r="C127" s="9"/>
      <c r="D127" s="8"/>
      <c r="E127" s="8"/>
      <c r="F127" s="8"/>
      <c r="G127" s="12"/>
      <c r="H127" s="8"/>
      <c r="I127" s="2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</row>
    <row r="128" spans="1:270" ht="15.75" customHeight="1">
      <c r="A128" s="106" t="s">
        <v>192</v>
      </c>
      <c r="B128" s="107"/>
      <c r="C128" s="107"/>
      <c r="D128" s="107"/>
      <c r="E128" s="107"/>
      <c r="F128" s="107"/>
      <c r="G128" s="107"/>
      <c r="H128" s="108"/>
      <c r="I128" s="17"/>
      <c r="J128" s="17"/>
      <c r="K128" s="17"/>
      <c r="L128" s="17"/>
      <c r="M128" s="47"/>
      <c r="N128" s="69"/>
      <c r="O128" s="17"/>
      <c r="P128" s="17"/>
      <c r="Q128" s="17"/>
      <c r="R128" s="47"/>
      <c r="S128" s="17"/>
      <c r="T128" s="69"/>
      <c r="U128" s="17"/>
      <c r="V128" s="17"/>
      <c r="W128" s="17"/>
      <c r="X128" s="47"/>
      <c r="Y128" s="17"/>
      <c r="Z128" s="69"/>
      <c r="AA128" s="17"/>
      <c r="AB128" s="17"/>
      <c r="AC128" s="17"/>
      <c r="AD128" s="47"/>
      <c r="AE128" s="17"/>
      <c r="AF128" s="69"/>
      <c r="AG128" s="17"/>
      <c r="AH128" s="17"/>
      <c r="AI128" s="17"/>
      <c r="AJ128" s="47"/>
      <c r="AK128" s="17"/>
      <c r="AL128" s="69"/>
      <c r="AM128" s="36"/>
      <c r="AN128" s="36"/>
      <c r="AO128" s="36"/>
      <c r="AP128" s="37"/>
      <c r="AQ128" s="36"/>
      <c r="AR128" s="24"/>
      <c r="AS128" s="25"/>
      <c r="AT128" s="36"/>
      <c r="AU128" s="36"/>
      <c r="AV128" s="37"/>
      <c r="AW128" s="36"/>
      <c r="AX128" s="24"/>
      <c r="AY128" s="25"/>
      <c r="AZ128" s="36"/>
      <c r="BA128" s="36"/>
      <c r="BB128" s="37"/>
      <c r="BC128" s="36"/>
      <c r="BD128" s="24"/>
      <c r="BE128" s="25"/>
      <c r="BF128" s="36"/>
      <c r="BG128" s="36"/>
      <c r="BH128" s="37"/>
      <c r="BI128" s="36"/>
      <c r="BJ128" s="24"/>
      <c r="BK128" s="25"/>
      <c r="BL128" s="36"/>
      <c r="BM128" s="36"/>
      <c r="BN128" s="37"/>
      <c r="BO128" s="36"/>
      <c r="BP128" s="24"/>
      <c r="BQ128" s="25"/>
      <c r="BR128" s="36"/>
      <c r="BS128" s="36"/>
      <c r="BT128" s="37"/>
      <c r="BU128" s="36"/>
      <c r="BV128" s="24"/>
      <c r="BW128" s="25"/>
      <c r="BX128" s="36"/>
      <c r="BY128" s="36"/>
      <c r="BZ128" s="37"/>
      <c r="CA128" s="36"/>
      <c r="CB128" s="24"/>
      <c r="CC128" s="25"/>
      <c r="CD128" s="36"/>
      <c r="CE128" s="36"/>
      <c r="CF128" s="37"/>
      <c r="CG128" s="36"/>
      <c r="CH128" s="24"/>
      <c r="CI128" s="25"/>
      <c r="CJ128" s="36"/>
      <c r="CK128" s="36"/>
      <c r="CL128" s="37"/>
      <c r="CM128" s="36"/>
      <c r="CN128" s="24"/>
      <c r="CO128" s="25"/>
      <c r="CP128" s="36"/>
      <c r="CQ128" s="36"/>
      <c r="CR128" s="37"/>
      <c r="CS128" s="36"/>
      <c r="CT128" s="24"/>
      <c r="CU128" s="25"/>
      <c r="CV128" s="36"/>
      <c r="CW128" s="36"/>
      <c r="CX128" s="37"/>
      <c r="CY128" s="36"/>
      <c r="CZ128" s="24"/>
      <c r="DA128" s="25"/>
      <c r="DB128" s="36"/>
      <c r="DC128" s="36"/>
      <c r="DD128" s="37"/>
      <c r="DE128" s="36"/>
      <c r="DF128" s="24"/>
      <c r="DG128" s="25"/>
      <c r="DH128" s="36"/>
      <c r="DI128" s="36"/>
      <c r="DJ128" s="37"/>
      <c r="DK128" s="36"/>
      <c r="DL128" s="24"/>
      <c r="DM128" s="25"/>
      <c r="DN128" s="36"/>
      <c r="DO128" s="36"/>
      <c r="DP128" s="37"/>
      <c r="DQ128" s="36"/>
      <c r="DR128" s="24"/>
      <c r="DS128" s="25"/>
      <c r="DT128" s="36"/>
      <c r="DU128" s="36"/>
      <c r="DV128" s="37"/>
      <c r="DW128" s="36"/>
      <c r="DX128" s="24"/>
      <c r="DY128" s="25"/>
      <c r="DZ128" s="36"/>
      <c r="EA128" s="36"/>
      <c r="EB128" s="37"/>
      <c r="EC128" s="36"/>
      <c r="ED128" s="24"/>
      <c r="EE128" s="25"/>
      <c r="EF128" s="36"/>
      <c r="EG128" s="36"/>
      <c r="EH128" s="37"/>
      <c r="EI128" s="36"/>
      <c r="EJ128" s="24"/>
      <c r="EK128" s="25"/>
      <c r="EL128" s="36"/>
      <c r="EM128" s="36"/>
      <c r="EN128" s="37"/>
      <c r="EO128" s="36"/>
      <c r="EP128" s="24"/>
      <c r="EQ128" s="25"/>
      <c r="ER128" s="36"/>
      <c r="ES128" s="36"/>
      <c r="ET128" s="37"/>
      <c r="EU128" s="36"/>
      <c r="EV128" s="24"/>
      <c r="EW128" s="25"/>
      <c r="EX128" s="36"/>
      <c r="EY128" s="36"/>
      <c r="EZ128" s="37"/>
      <c r="FA128" s="36"/>
      <c r="FB128" s="24"/>
      <c r="FC128" s="25"/>
      <c r="FD128" s="36"/>
      <c r="FE128" s="36"/>
      <c r="FF128" s="37"/>
      <c r="FG128" s="36"/>
      <c r="FH128" s="24"/>
      <c r="FI128" s="25"/>
      <c r="FJ128" s="36"/>
      <c r="FK128" s="36"/>
      <c r="FL128" s="37"/>
      <c r="FM128" s="36"/>
      <c r="FN128" s="24"/>
      <c r="FO128" s="25"/>
      <c r="FP128" s="36"/>
      <c r="FQ128" s="36"/>
      <c r="FR128" s="37"/>
      <c r="FS128" s="36"/>
      <c r="FT128" s="24"/>
      <c r="FU128" s="25"/>
      <c r="FV128" s="36"/>
      <c r="FW128" s="36"/>
      <c r="FX128" s="37"/>
      <c r="FY128" s="36"/>
      <c r="FZ128" s="24"/>
      <c r="GA128" s="25"/>
      <c r="GB128" s="36"/>
      <c r="GC128" s="36"/>
      <c r="GD128" s="37"/>
      <c r="GE128" s="36"/>
      <c r="GF128" s="24"/>
      <c r="GG128" s="25"/>
      <c r="GH128" s="36"/>
      <c r="GI128" s="36"/>
      <c r="GJ128" s="37"/>
      <c r="GK128" s="36"/>
      <c r="GL128" s="24"/>
      <c r="GM128" s="25"/>
      <c r="GN128" s="36"/>
      <c r="GO128" s="36"/>
      <c r="GP128" s="37"/>
      <c r="GQ128" s="36"/>
      <c r="GR128" s="24"/>
      <c r="GS128" s="25"/>
      <c r="GT128" s="36"/>
      <c r="GU128" s="36"/>
      <c r="GV128" s="37"/>
      <c r="GW128" s="36"/>
      <c r="GX128" s="24"/>
      <c r="GY128" s="25"/>
      <c r="GZ128" s="36"/>
      <c r="HA128" s="36"/>
      <c r="HB128" s="37"/>
      <c r="HC128" s="36"/>
      <c r="HD128" s="24"/>
      <c r="HE128" s="25"/>
      <c r="HF128" s="36"/>
      <c r="HG128" s="36"/>
      <c r="HH128" s="37"/>
      <c r="HI128" s="36"/>
      <c r="HJ128" s="24"/>
      <c r="HK128" s="25"/>
      <c r="HL128" s="36"/>
      <c r="HM128" s="36"/>
      <c r="HN128" s="37"/>
      <c r="HO128" s="36"/>
      <c r="HP128" s="24"/>
      <c r="HQ128" s="25"/>
      <c r="HR128" s="36"/>
      <c r="HS128" s="36"/>
      <c r="HT128" s="37"/>
      <c r="HU128" s="36"/>
      <c r="HV128" s="24"/>
      <c r="HW128" s="25"/>
      <c r="HX128" s="36"/>
      <c r="HY128" s="36"/>
      <c r="HZ128" s="37"/>
      <c r="IA128" s="36"/>
      <c r="IB128" s="24"/>
      <c r="IC128" s="25"/>
      <c r="ID128" s="36"/>
      <c r="IE128" s="36"/>
      <c r="IF128" s="37"/>
      <c r="IG128" s="36"/>
      <c r="IH128" s="24"/>
      <c r="II128" s="25"/>
      <c r="IJ128" s="36"/>
      <c r="IK128" s="36"/>
      <c r="IL128" s="37"/>
      <c r="IM128" s="36"/>
      <c r="IN128" s="24"/>
      <c r="IO128" s="25"/>
      <c r="IP128" s="36" t="e">
        <v>#REF!</v>
      </c>
      <c r="IQ128" s="36"/>
      <c r="IR128" s="37"/>
      <c r="IS128" s="36"/>
      <c r="IT128" s="24"/>
      <c r="IU128" s="25"/>
      <c r="IV128" s="36"/>
      <c r="IW128" s="36"/>
      <c r="IX128" s="37"/>
      <c r="IY128" s="36"/>
      <c r="IZ128" s="24"/>
      <c r="JA128" s="25"/>
      <c r="JB128" s="36"/>
      <c r="JC128" s="36"/>
      <c r="JD128" s="37"/>
      <c r="JE128" s="36"/>
      <c r="JF128" s="24"/>
      <c r="JG128" s="25"/>
      <c r="JH128" s="36"/>
      <c r="JI128" s="36"/>
      <c r="JJ128" s="37"/>
    </row>
    <row r="129" spans="1:270" ht="15.75" customHeight="1">
      <c r="A129" s="109" t="s">
        <v>193</v>
      </c>
      <c r="B129" s="107"/>
      <c r="C129" s="107"/>
      <c r="D129" s="107"/>
      <c r="E129" s="107"/>
      <c r="F129" s="107"/>
      <c r="G129" s="107"/>
      <c r="H129" s="108"/>
      <c r="I129" s="2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</row>
    <row r="130" spans="1:270" ht="15.75" customHeight="1">
      <c r="A130" s="7" t="s">
        <v>6</v>
      </c>
      <c r="B130" s="7" t="s">
        <v>7</v>
      </c>
      <c r="C130" s="7" t="s">
        <v>8</v>
      </c>
      <c r="D130" s="7" t="s">
        <v>9</v>
      </c>
      <c r="E130" s="7" t="s">
        <v>10</v>
      </c>
      <c r="F130" s="7" t="s">
        <v>11</v>
      </c>
      <c r="G130" s="7" t="s">
        <v>12</v>
      </c>
      <c r="H130" s="7" t="s">
        <v>13</v>
      </c>
      <c r="I130" s="4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</row>
    <row r="131" spans="1:270" ht="15.75" customHeight="1">
      <c r="A131" s="78">
        <v>1</v>
      </c>
      <c r="B131" s="78" t="s">
        <v>194</v>
      </c>
      <c r="C131" s="79" t="s">
        <v>195</v>
      </c>
      <c r="D131" s="78" t="s">
        <v>120</v>
      </c>
      <c r="E131" s="78">
        <f>VALUE(LEFT(D131,1))</f>
        <v>2</v>
      </c>
      <c r="F131" s="91"/>
      <c r="G131" s="91"/>
      <c r="H131" s="91"/>
      <c r="I131" s="47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44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/>
      <c r="DM131" s="44"/>
      <c r="DN131" s="44"/>
      <c r="DO131" s="44"/>
      <c r="DP131" s="44"/>
      <c r="DQ131" s="44"/>
      <c r="DR131" s="44"/>
      <c r="DS131" s="44"/>
      <c r="DT131" s="44"/>
      <c r="DU131" s="44"/>
      <c r="DV131" s="44"/>
      <c r="DW131" s="44"/>
      <c r="DX131" s="44"/>
      <c r="DY131" s="44"/>
      <c r="DZ131" s="44"/>
      <c r="EA131" s="44"/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  <c r="EQ131" s="44"/>
      <c r="ER131" s="44"/>
      <c r="ES131" s="44"/>
      <c r="ET131" s="44"/>
      <c r="EU131" s="44"/>
      <c r="EV131" s="44"/>
      <c r="EW131" s="44"/>
      <c r="EX131" s="44"/>
      <c r="EY131" s="44"/>
      <c r="EZ131" s="44"/>
      <c r="FA131" s="44"/>
      <c r="FB131" s="44"/>
      <c r="FC131" s="44"/>
      <c r="FD131" s="44"/>
      <c r="FE131" s="44"/>
      <c r="FF131" s="44"/>
      <c r="FG131" s="44"/>
      <c r="FH131" s="44"/>
      <c r="FI131" s="44"/>
      <c r="FJ131" s="44"/>
      <c r="FK131" s="44"/>
      <c r="FL131" s="44"/>
      <c r="FM131" s="44"/>
      <c r="FN131" s="44"/>
      <c r="FO131" s="44"/>
      <c r="FP131" s="44"/>
      <c r="FQ131" s="44"/>
      <c r="FR131" s="44"/>
      <c r="FS131" s="44"/>
      <c r="FT131" s="44"/>
      <c r="FU131" s="44"/>
      <c r="FV131" s="44"/>
      <c r="FW131" s="44"/>
      <c r="FX131" s="44"/>
      <c r="FY131" s="44"/>
      <c r="FZ131" s="44"/>
      <c r="GA131" s="44"/>
      <c r="GB131" s="44"/>
      <c r="GC131" s="44"/>
      <c r="GD131" s="44"/>
      <c r="GE131" s="44"/>
      <c r="GF131" s="44"/>
      <c r="GG131" s="44"/>
      <c r="GH131" s="44"/>
      <c r="GI131" s="44"/>
      <c r="GJ131" s="44"/>
      <c r="GK131" s="44"/>
      <c r="GL131" s="44"/>
      <c r="GM131" s="44"/>
      <c r="GN131" s="44"/>
      <c r="GO131" s="44"/>
      <c r="GP131" s="44"/>
      <c r="GQ131" s="44"/>
      <c r="GR131" s="44"/>
      <c r="GS131" s="44"/>
      <c r="GT131" s="44"/>
      <c r="GU131" s="44"/>
      <c r="GV131" s="44"/>
      <c r="GW131" s="44"/>
      <c r="GX131" s="44"/>
      <c r="GY131" s="44"/>
      <c r="GZ131" s="44"/>
      <c r="HA131" s="44"/>
      <c r="HB131" s="44"/>
      <c r="HC131" s="44"/>
      <c r="HD131" s="44"/>
      <c r="HE131" s="44"/>
      <c r="HF131" s="44"/>
      <c r="HG131" s="44"/>
      <c r="HH131" s="44"/>
      <c r="HI131" s="44"/>
      <c r="HJ131" s="44"/>
      <c r="HK131" s="44"/>
      <c r="HL131" s="44"/>
      <c r="HM131" s="44"/>
      <c r="HN131" s="44"/>
      <c r="HO131" s="44"/>
      <c r="HP131" s="44"/>
      <c r="HQ131" s="44"/>
      <c r="HR131" s="44"/>
      <c r="HS131" s="44"/>
      <c r="HT131" s="44"/>
      <c r="HU131" s="44"/>
      <c r="HV131" s="44"/>
      <c r="HW131" s="44"/>
      <c r="HX131" s="44"/>
      <c r="HY131" s="44"/>
      <c r="HZ131" s="44"/>
      <c r="IA131" s="44"/>
      <c r="IB131" s="44"/>
      <c r="IC131" s="44"/>
      <c r="ID131" s="44"/>
      <c r="IE131" s="44"/>
      <c r="IF131" s="44"/>
      <c r="IG131" s="44"/>
      <c r="IH131" s="44"/>
      <c r="II131" s="44"/>
      <c r="IJ131" s="44"/>
      <c r="IK131" s="44"/>
      <c r="IL131" s="44"/>
      <c r="IM131" s="44"/>
      <c r="IN131" s="44"/>
      <c r="IO131" s="44"/>
      <c r="IP131" s="44"/>
      <c r="IQ131" s="44"/>
      <c r="IR131" s="44"/>
      <c r="IS131" s="44"/>
      <c r="IT131" s="44"/>
      <c r="IU131" s="44"/>
      <c r="IV131" s="44"/>
      <c r="IW131" s="44"/>
      <c r="IX131" s="44"/>
      <c r="IY131" s="44"/>
      <c r="IZ131" s="44"/>
      <c r="JA131" s="44"/>
      <c r="JB131" s="44"/>
      <c r="JC131" s="44"/>
      <c r="JD131" s="44"/>
      <c r="JE131" s="44"/>
      <c r="JF131" s="44"/>
      <c r="JG131" s="44"/>
      <c r="JH131" s="44"/>
      <c r="JI131" s="44"/>
      <c r="JJ131" s="44"/>
    </row>
    <row r="132" spans="1:270" ht="15.75" customHeight="1">
      <c r="A132" s="8">
        <v>2</v>
      </c>
      <c r="B132" s="8" t="s">
        <v>196</v>
      </c>
      <c r="C132" s="9" t="s">
        <v>197</v>
      </c>
      <c r="D132" s="8" t="s">
        <v>16</v>
      </c>
      <c r="E132" s="8">
        <v>3</v>
      </c>
      <c r="F132" s="8"/>
      <c r="G132" s="12"/>
      <c r="H132" s="8"/>
      <c r="I132" s="47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/>
      <c r="DU132" s="44"/>
      <c r="DV132" s="44"/>
      <c r="DW132" s="44"/>
      <c r="DX132" s="44"/>
      <c r="DY132" s="44"/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/>
      <c r="JC132" s="44"/>
      <c r="JD132" s="44"/>
      <c r="JE132" s="44"/>
      <c r="JF132" s="44"/>
      <c r="JG132" s="44"/>
      <c r="JH132" s="44"/>
      <c r="JI132" s="44"/>
      <c r="JJ132" s="44"/>
    </row>
    <row r="133" spans="1:270" ht="15.75" customHeight="1">
      <c r="A133" s="8">
        <v>3</v>
      </c>
      <c r="B133" s="21" t="s">
        <v>198</v>
      </c>
      <c r="C133" s="30" t="s">
        <v>199</v>
      </c>
      <c r="D133" s="21" t="s">
        <v>16</v>
      </c>
      <c r="E133" s="21">
        <v>3</v>
      </c>
      <c r="F133" s="21"/>
      <c r="G133" s="101" t="s">
        <v>200</v>
      </c>
      <c r="H133" s="8"/>
      <c r="I133" s="26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/>
      <c r="DU133" s="44"/>
      <c r="DV133" s="44"/>
      <c r="DW133" s="44"/>
      <c r="DX133" s="44"/>
      <c r="DY133" s="44"/>
      <c r="DZ133" s="44"/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44"/>
      <c r="FJ133" s="44"/>
      <c r="FK133" s="44"/>
      <c r="FL133" s="44"/>
      <c r="FM133" s="44"/>
      <c r="FN133" s="44"/>
      <c r="FO133" s="44"/>
      <c r="FP133" s="44"/>
      <c r="FQ133" s="44"/>
      <c r="FR133" s="44"/>
      <c r="FS133" s="44"/>
      <c r="FT133" s="44"/>
      <c r="FU133" s="44"/>
      <c r="FV133" s="44"/>
      <c r="FW133" s="44"/>
      <c r="FX133" s="44"/>
      <c r="FY133" s="44"/>
      <c r="FZ133" s="44"/>
      <c r="GA133" s="44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U133" s="44"/>
      <c r="HV133" s="44"/>
      <c r="HW133" s="44"/>
      <c r="HX133" s="44"/>
      <c r="HY133" s="44"/>
      <c r="HZ133" s="44"/>
      <c r="IA133" s="44"/>
      <c r="IB133" s="44"/>
      <c r="IC133" s="44"/>
      <c r="ID133" s="44"/>
      <c r="IE133" s="44"/>
      <c r="IF133" s="44"/>
      <c r="IG133" s="44"/>
      <c r="IH133" s="44"/>
      <c r="II133" s="44"/>
      <c r="IJ133" s="44"/>
      <c r="IK133" s="44"/>
      <c r="IL133" s="44"/>
      <c r="IM133" s="44"/>
      <c r="IN133" s="44"/>
      <c r="IO133" s="44"/>
      <c r="IP133" s="44"/>
      <c r="IQ133" s="44"/>
      <c r="IR133" s="44"/>
      <c r="IS133" s="44"/>
      <c r="IT133" s="44"/>
      <c r="IU133" s="44"/>
      <c r="IV133" s="44"/>
      <c r="IW133" s="44"/>
      <c r="IX133" s="44"/>
      <c r="IY133" s="44"/>
      <c r="IZ133" s="44"/>
      <c r="JA133" s="44"/>
      <c r="JB133" s="44"/>
      <c r="JC133" s="44"/>
      <c r="JD133" s="44"/>
      <c r="JE133" s="44"/>
      <c r="JF133" s="44"/>
      <c r="JG133" s="44"/>
      <c r="JH133" s="44"/>
      <c r="JI133" s="44"/>
      <c r="JJ133" s="44"/>
    </row>
    <row r="134" spans="1:270" ht="15.75" customHeight="1">
      <c r="A134" s="29">
        <v>4</v>
      </c>
      <c r="B134" s="102" t="s">
        <v>201</v>
      </c>
      <c r="C134" s="80" t="s">
        <v>202</v>
      </c>
      <c r="D134" s="29" t="s">
        <v>43</v>
      </c>
      <c r="E134" s="8">
        <f>VALUE(LEFT(D134,1))</f>
        <v>2</v>
      </c>
      <c r="F134" s="32"/>
      <c r="G134" s="12"/>
      <c r="H134" s="8"/>
      <c r="I134" s="94"/>
      <c r="J134" s="95"/>
      <c r="K134" s="95"/>
      <c r="L134" s="95"/>
      <c r="M134" s="96"/>
      <c r="N134" s="96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/>
      <c r="DU134" s="44"/>
      <c r="DV134" s="44"/>
      <c r="DW134" s="44"/>
      <c r="DX134" s="44"/>
      <c r="DY134" s="44"/>
      <c r="DZ134" s="44"/>
      <c r="EA134" s="44"/>
      <c r="EB134" s="44"/>
      <c r="EC134" s="44"/>
      <c r="ED134" s="44"/>
      <c r="EE134" s="44"/>
      <c r="EF134" s="44"/>
      <c r="EG134" s="44"/>
      <c r="EH134" s="44"/>
      <c r="EI134" s="44"/>
      <c r="EJ134" s="44"/>
      <c r="EK134" s="44"/>
      <c r="EL134" s="44"/>
      <c r="EM134" s="44"/>
      <c r="EN134" s="44"/>
      <c r="EO134" s="44"/>
      <c r="EP134" s="44"/>
      <c r="EQ134" s="44"/>
      <c r="ER134" s="44"/>
      <c r="ES134" s="44"/>
      <c r="ET134" s="44"/>
      <c r="EU134" s="44"/>
      <c r="EV134" s="44"/>
      <c r="EW134" s="44"/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/>
      <c r="FJ134" s="44"/>
      <c r="FK134" s="44"/>
      <c r="FL134" s="44"/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/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/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/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</row>
    <row r="135" spans="1:270" ht="15.75" customHeight="1">
      <c r="A135" s="8">
        <v>5</v>
      </c>
      <c r="B135" s="8" t="s">
        <v>203</v>
      </c>
      <c r="C135" s="9" t="s">
        <v>204</v>
      </c>
      <c r="D135" s="8" t="s">
        <v>43</v>
      </c>
      <c r="E135" s="8"/>
      <c r="F135" s="119">
        <v>2</v>
      </c>
      <c r="G135" s="12"/>
      <c r="H135" s="8"/>
      <c r="I135" s="26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/>
      <c r="DN135" s="44"/>
      <c r="DO135" s="44"/>
      <c r="DP135" s="44"/>
      <c r="DQ135" s="44"/>
      <c r="DR135" s="44"/>
      <c r="DS135" s="44"/>
      <c r="DT135" s="44"/>
      <c r="DU135" s="44"/>
      <c r="DV135" s="44"/>
      <c r="DW135" s="44"/>
      <c r="DX135" s="44"/>
      <c r="DY135" s="44"/>
      <c r="DZ135" s="44"/>
      <c r="EA135" s="44"/>
      <c r="EB135" s="44"/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/>
      <c r="EU135" s="44"/>
      <c r="EV135" s="44"/>
      <c r="EW135" s="44"/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4"/>
      <c r="FN135" s="44"/>
      <c r="FO135" s="44"/>
      <c r="FP135" s="44"/>
      <c r="FQ135" s="44"/>
      <c r="FR135" s="44"/>
      <c r="FS135" s="44"/>
      <c r="FT135" s="44"/>
      <c r="FU135" s="44"/>
      <c r="FV135" s="44"/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4"/>
      <c r="HN135" s="44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/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  <c r="IV135" s="44"/>
      <c r="IW135" s="44"/>
      <c r="IX135" s="44"/>
      <c r="IY135" s="44"/>
      <c r="IZ135" s="44"/>
      <c r="JA135" s="44"/>
      <c r="JB135" s="44"/>
      <c r="JC135" s="44"/>
      <c r="JD135" s="44"/>
      <c r="JE135" s="44"/>
      <c r="JF135" s="44"/>
      <c r="JG135" s="44"/>
      <c r="JH135" s="44"/>
      <c r="JI135" s="44"/>
      <c r="JJ135" s="44"/>
    </row>
    <row r="136" spans="1:270" ht="15.75" customHeight="1">
      <c r="A136" s="8">
        <v>6</v>
      </c>
      <c r="B136" s="8" t="s">
        <v>205</v>
      </c>
      <c r="C136" s="9" t="s">
        <v>206</v>
      </c>
      <c r="D136" s="8" t="s">
        <v>43</v>
      </c>
      <c r="E136" s="8"/>
      <c r="F136" s="123"/>
      <c r="G136" s="12"/>
      <c r="H136" s="8"/>
      <c r="I136" s="26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  <c r="DK136" s="44"/>
      <c r="DL136" s="44"/>
      <c r="DM136" s="44"/>
      <c r="DN136" s="44"/>
      <c r="DO136" s="44"/>
      <c r="DP136" s="44"/>
      <c r="DQ136" s="44"/>
      <c r="DR136" s="44"/>
      <c r="DS136" s="44"/>
      <c r="DT136" s="44"/>
      <c r="DU136" s="44"/>
      <c r="DV136" s="44"/>
      <c r="DW136" s="44"/>
      <c r="DX136" s="44"/>
      <c r="DY136" s="44"/>
      <c r="DZ136" s="44"/>
      <c r="EA136" s="44"/>
      <c r="EB136" s="44"/>
      <c r="EC136" s="44"/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/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/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/>
      <c r="IG136" s="44"/>
      <c r="IH136" s="44"/>
      <c r="II136" s="44"/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  <c r="IW136" s="44"/>
      <c r="IX136" s="44"/>
      <c r="IY136" s="44"/>
      <c r="IZ136" s="44"/>
      <c r="JA136" s="44"/>
      <c r="JB136" s="44"/>
      <c r="JC136" s="44"/>
      <c r="JD136" s="44"/>
      <c r="JE136" s="44"/>
      <c r="JF136" s="44"/>
      <c r="JG136" s="44"/>
      <c r="JH136" s="44"/>
      <c r="JI136" s="44"/>
      <c r="JJ136" s="44"/>
    </row>
    <row r="137" spans="1:270" ht="15.75" customHeight="1">
      <c r="A137" s="8">
        <v>7</v>
      </c>
      <c r="B137" s="8" t="s">
        <v>207</v>
      </c>
      <c r="C137" s="9" t="s">
        <v>208</v>
      </c>
      <c r="D137" s="8" t="s">
        <v>43</v>
      </c>
      <c r="E137" s="8"/>
      <c r="F137" s="120"/>
      <c r="G137" s="12"/>
      <c r="H137" s="8"/>
      <c r="I137" s="26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/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/>
      <c r="EE137" s="44"/>
      <c r="EF137" s="44"/>
      <c r="EG137" s="44"/>
      <c r="EH137" s="44"/>
      <c r="EI137" s="44"/>
      <c r="EJ137" s="44"/>
      <c r="EK137" s="44"/>
      <c r="EL137" s="44"/>
      <c r="EM137" s="44"/>
      <c r="EN137" s="44"/>
      <c r="EO137" s="44"/>
      <c r="EP137" s="44"/>
      <c r="EQ137" s="44"/>
      <c r="ER137" s="44"/>
      <c r="ES137" s="44"/>
      <c r="ET137" s="44"/>
      <c r="EU137" s="44"/>
      <c r="EV137" s="44"/>
      <c r="EW137" s="44"/>
      <c r="EX137" s="44"/>
      <c r="EY137" s="44"/>
      <c r="EZ137" s="44"/>
      <c r="FA137" s="44"/>
      <c r="FB137" s="44"/>
      <c r="FC137" s="44"/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/>
      <c r="FU137" s="44"/>
      <c r="FV137" s="44"/>
      <c r="FW137" s="44"/>
      <c r="FX137" s="44"/>
      <c r="FY137" s="44"/>
      <c r="FZ137" s="44"/>
      <c r="GA137" s="44"/>
      <c r="GB137" s="44"/>
      <c r="GC137" s="44"/>
      <c r="GD137" s="44"/>
      <c r="GE137" s="44"/>
      <c r="GF137" s="44"/>
      <c r="GG137" s="44"/>
      <c r="GH137" s="44"/>
      <c r="GI137" s="44"/>
      <c r="GJ137" s="44"/>
      <c r="GK137" s="44"/>
      <c r="GL137" s="44"/>
      <c r="GM137" s="44"/>
      <c r="GN137" s="44"/>
      <c r="GO137" s="44"/>
      <c r="GP137" s="44"/>
      <c r="GQ137" s="44"/>
      <c r="GR137" s="44"/>
      <c r="GS137" s="44"/>
      <c r="GT137" s="44"/>
      <c r="GU137" s="44"/>
      <c r="GV137" s="44"/>
      <c r="GW137" s="44"/>
      <c r="GX137" s="44"/>
      <c r="GY137" s="44"/>
      <c r="GZ137" s="44"/>
      <c r="HA137" s="44"/>
      <c r="HB137" s="44"/>
      <c r="HC137" s="44"/>
      <c r="HD137" s="44"/>
      <c r="HE137" s="44"/>
      <c r="HF137" s="44"/>
      <c r="HG137" s="44"/>
      <c r="HH137" s="44"/>
      <c r="HI137" s="44"/>
      <c r="HJ137" s="44"/>
      <c r="HK137" s="44"/>
      <c r="HL137" s="44"/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/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/>
      <c r="IR137" s="44"/>
      <c r="IS137" s="44"/>
      <c r="IT137" s="44"/>
      <c r="IU137" s="44"/>
      <c r="IV137" s="44"/>
      <c r="IW137" s="44"/>
      <c r="IX137" s="44"/>
      <c r="IY137" s="44"/>
      <c r="IZ137" s="44"/>
      <c r="JA137" s="44"/>
      <c r="JB137" s="44"/>
      <c r="JC137" s="44"/>
      <c r="JD137" s="44"/>
      <c r="JE137" s="44"/>
      <c r="JF137" s="44"/>
      <c r="JG137" s="44"/>
      <c r="JH137" s="44"/>
      <c r="JI137" s="44"/>
      <c r="JJ137" s="44"/>
    </row>
    <row r="138" spans="1:270" ht="15.75" customHeight="1">
      <c r="A138" s="48"/>
      <c r="B138" s="14"/>
      <c r="C138" s="14" t="s">
        <v>27</v>
      </c>
      <c r="D138" s="14"/>
      <c r="E138" s="59">
        <f>SUM(E131:E137)</f>
        <v>10</v>
      </c>
      <c r="F138" s="14">
        <v>2</v>
      </c>
      <c r="G138" s="48"/>
      <c r="H138" s="14">
        <v>12</v>
      </c>
      <c r="I138" s="26"/>
      <c r="J138" s="72"/>
      <c r="K138" s="72"/>
      <c r="L138" s="72"/>
      <c r="M138" s="72"/>
      <c r="N138" s="72"/>
      <c r="O138" s="72"/>
      <c r="P138" s="72"/>
      <c r="Q138" s="72"/>
      <c r="R138" s="110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  <c r="AE138" s="110"/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0"/>
      <c r="AW138" s="110"/>
      <c r="AX138" s="110"/>
      <c r="AY138" s="110"/>
      <c r="AZ138" s="110"/>
      <c r="BA138" s="110"/>
      <c r="BB138" s="110"/>
      <c r="BC138" s="110"/>
      <c r="BD138" s="110"/>
      <c r="BE138" s="110"/>
      <c r="BF138" s="110"/>
      <c r="BG138" s="110"/>
      <c r="BH138" s="110"/>
      <c r="BI138" s="110"/>
      <c r="BJ138" s="110"/>
      <c r="BK138" s="110"/>
      <c r="BL138" s="110"/>
      <c r="BM138" s="110"/>
      <c r="BN138" s="110"/>
      <c r="BO138" s="110"/>
      <c r="BP138" s="110"/>
      <c r="BQ138" s="110"/>
      <c r="BR138" s="110"/>
      <c r="BS138" s="110"/>
      <c r="BT138" s="110"/>
      <c r="BU138" s="110"/>
      <c r="BV138" s="110"/>
      <c r="BW138" s="110"/>
      <c r="BX138" s="110"/>
      <c r="BY138" s="110"/>
      <c r="BZ138" s="110"/>
      <c r="CA138" s="110"/>
      <c r="CB138" s="110"/>
      <c r="CC138" s="110"/>
      <c r="CD138" s="110"/>
      <c r="CE138" s="110"/>
      <c r="CF138" s="110"/>
      <c r="CG138" s="110"/>
      <c r="CH138" s="110"/>
      <c r="CI138" s="110"/>
      <c r="CJ138" s="110"/>
      <c r="CK138" s="110"/>
      <c r="CL138" s="110"/>
      <c r="CM138" s="110"/>
      <c r="CN138" s="110"/>
      <c r="CO138" s="110"/>
      <c r="CP138" s="110"/>
      <c r="CQ138" s="110"/>
      <c r="CR138" s="110"/>
      <c r="CS138" s="110"/>
      <c r="CT138" s="110"/>
      <c r="CU138" s="110"/>
      <c r="CV138" s="110"/>
      <c r="CW138" s="110"/>
      <c r="CX138" s="110"/>
      <c r="CY138" s="110"/>
      <c r="CZ138" s="110"/>
      <c r="DA138" s="110"/>
      <c r="DB138" s="110"/>
      <c r="DC138" s="110"/>
      <c r="DD138" s="110"/>
      <c r="DE138" s="110"/>
      <c r="DF138" s="110"/>
      <c r="DG138" s="110"/>
      <c r="DH138" s="110"/>
      <c r="DI138" s="110"/>
      <c r="DJ138" s="110"/>
      <c r="DK138" s="110"/>
      <c r="DL138" s="110"/>
      <c r="DM138" s="110"/>
      <c r="DN138" s="110"/>
      <c r="DO138" s="110"/>
      <c r="DP138" s="110"/>
      <c r="DQ138" s="110"/>
      <c r="DR138" s="110"/>
      <c r="DS138" s="110"/>
      <c r="DT138" s="110"/>
      <c r="DU138" s="110"/>
      <c r="DV138" s="110"/>
      <c r="DW138" s="110"/>
      <c r="DX138" s="110"/>
      <c r="DY138" s="110"/>
      <c r="DZ138" s="110"/>
      <c r="EA138" s="110"/>
      <c r="EB138" s="110"/>
      <c r="EC138" s="110"/>
      <c r="ED138" s="110"/>
      <c r="EE138" s="110"/>
      <c r="EF138" s="110"/>
      <c r="EG138" s="110"/>
      <c r="EH138" s="110"/>
      <c r="EI138" s="110"/>
      <c r="EJ138" s="110"/>
      <c r="EK138" s="110"/>
      <c r="EL138" s="110"/>
      <c r="EM138" s="110"/>
      <c r="EN138" s="110"/>
      <c r="EO138" s="110"/>
      <c r="EP138" s="110"/>
      <c r="EQ138" s="110"/>
      <c r="ER138" s="110"/>
      <c r="ES138" s="110"/>
      <c r="ET138" s="110"/>
      <c r="EU138" s="110"/>
      <c r="EV138" s="110"/>
      <c r="EW138" s="110"/>
      <c r="EX138" s="110"/>
      <c r="EY138" s="110"/>
      <c r="EZ138" s="110"/>
      <c r="FA138" s="110"/>
      <c r="FB138" s="110"/>
      <c r="FC138" s="110"/>
      <c r="FD138" s="110"/>
      <c r="FE138" s="110"/>
      <c r="FF138" s="110"/>
      <c r="FG138" s="110"/>
      <c r="FH138" s="110"/>
      <c r="FI138" s="110"/>
      <c r="FJ138" s="110"/>
      <c r="FK138" s="110"/>
      <c r="FL138" s="110"/>
      <c r="FM138" s="110"/>
      <c r="FN138" s="110"/>
      <c r="FO138" s="110"/>
      <c r="FP138" s="110"/>
      <c r="FQ138" s="110"/>
      <c r="FR138" s="110"/>
      <c r="FS138" s="110"/>
      <c r="FT138" s="110"/>
      <c r="FU138" s="110"/>
      <c r="FV138" s="110"/>
      <c r="FW138" s="110"/>
      <c r="FX138" s="110"/>
      <c r="FY138" s="110"/>
      <c r="FZ138" s="110"/>
      <c r="GA138" s="110"/>
      <c r="GB138" s="110"/>
      <c r="GC138" s="110"/>
      <c r="GD138" s="110"/>
      <c r="GE138" s="110"/>
      <c r="GF138" s="110"/>
      <c r="GG138" s="110"/>
      <c r="GH138" s="110"/>
      <c r="GI138" s="110"/>
      <c r="GJ138" s="110"/>
      <c r="GK138" s="110"/>
      <c r="GL138" s="110"/>
      <c r="GM138" s="110"/>
      <c r="GN138" s="110"/>
      <c r="GO138" s="110"/>
      <c r="GP138" s="110"/>
      <c r="GQ138" s="110"/>
      <c r="GR138" s="110"/>
      <c r="GS138" s="110"/>
      <c r="GT138" s="110"/>
      <c r="GU138" s="110"/>
      <c r="GV138" s="110"/>
      <c r="GW138" s="110"/>
      <c r="GX138" s="110"/>
      <c r="GY138" s="110"/>
      <c r="GZ138" s="110"/>
      <c r="HA138" s="110"/>
      <c r="HB138" s="110"/>
      <c r="HC138" s="110"/>
      <c r="HD138" s="110"/>
      <c r="HE138" s="110"/>
      <c r="HF138" s="110"/>
      <c r="HG138" s="110"/>
      <c r="HH138" s="110"/>
      <c r="HI138" s="110"/>
      <c r="HJ138" s="110"/>
      <c r="HK138" s="110"/>
      <c r="HL138" s="110"/>
      <c r="HM138" s="110"/>
      <c r="HN138" s="110"/>
      <c r="HO138" s="110"/>
      <c r="HP138" s="110"/>
      <c r="HQ138" s="110"/>
      <c r="HR138" s="110"/>
      <c r="HS138" s="110"/>
      <c r="HT138" s="110"/>
      <c r="HU138" s="110"/>
      <c r="HV138" s="110"/>
      <c r="HW138" s="110"/>
      <c r="HX138" s="110"/>
      <c r="HY138" s="110"/>
      <c r="HZ138" s="110"/>
      <c r="IA138" s="110"/>
      <c r="IB138" s="110"/>
      <c r="IC138" s="110"/>
      <c r="ID138" s="110"/>
      <c r="IE138" s="110"/>
      <c r="IF138" s="110"/>
      <c r="IG138" s="110"/>
      <c r="IH138" s="110"/>
      <c r="II138" s="110"/>
      <c r="IJ138" s="110"/>
      <c r="IK138" s="110"/>
      <c r="IL138" s="110"/>
      <c r="IM138" s="110"/>
      <c r="IN138" s="110"/>
      <c r="IO138" s="110"/>
      <c r="IP138" s="110" t="e">
        <v>#REF!</v>
      </c>
      <c r="IQ138" s="110"/>
      <c r="IR138" s="110"/>
      <c r="IS138" s="110"/>
      <c r="IT138" s="110"/>
      <c r="IU138" s="110"/>
      <c r="IV138" s="110"/>
      <c r="IW138" s="110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</row>
    <row r="139" spans="1:270" ht="15.75" customHeight="1">
      <c r="A139" s="81"/>
      <c r="B139" s="26"/>
      <c r="C139" s="27"/>
      <c r="D139" s="26"/>
      <c r="E139" s="26"/>
      <c r="F139" s="26"/>
      <c r="G139" s="38"/>
      <c r="H139" s="26"/>
      <c r="I139" s="17"/>
      <c r="J139" s="17"/>
      <c r="K139" s="17"/>
      <c r="L139" s="17"/>
      <c r="M139" s="47"/>
      <c r="N139" s="69"/>
      <c r="O139" s="17"/>
      <c r="P139" s="17"/>
      <c r="Q139" s="17"/>
      <c r="R139" s="47"/>
      <c r="S139" s="17"/>
      <c r="T139" s="69"/>
      <c r="U139" s="17"/>
      <c r="V139" s="17"/>
      <c r="W139" s="17"/>
      <c r="X139" s="47"/>
      <c r="Y139" s="17"/>
      <c r="Z139" s="69"/>
      <c r="AA139" s="17"/>
      <c r="AB139" s="17"/>
      <c r="AC139" s="17"/>
      <c r="AD139" s="47"/>
      <c r="AE139" s="17"/>
      <c r="AF139" s="69"/>
      <c r="AG139" s="17"/>
      <c r="AH139" s="17"/>
      <c r="AI139" s="17"/>
      <c r="AJ139" s="47"/>
      <c r="AK139" s="17"/>
      <c r="AL139" s="69"/>
      <c r="AM139" s="17"/>
      <c r="AN139" s="17"/>
      <c r="AO139" s="17"/>
      <c r="AP139" s="37"/>
      <c r="AQ139" s="36"/>
      <c r="AR139" s="24"/>
      <c r="AS139" s="25"/>
      <c r="AT139" s="36"/>
      <c r="AU139" s="36"/>
      <c r="AV139" s="37"/>
      <c r="AW139" s="36"/>
      <c r="AX139" s="24"/>
      <c r="AY139" s="25"/>
      <c r="AZ139" s="36"/>
      <c r="BA139" s="36"/>
      <c r="BB139" s="37"/>
      <c r="BC139" s="36"/>
      <c r="BD139" s="24"/>
      <c r="BE139" s="25"/>
      <c r="BF139" s="36"/>
      <c r="BG139" s="36"/>
      <c r="BH139" s="37"/>
      <c r="BI139" s="36"/>
      <c r="BJ139" s="24"/>
      <c r="BK139" s="25"/>
      <c r="BL139" s="36"/>
      <c r="BM139" s="36"/>
      <c r="BN139" s="37"/>
      <c r="BO139" s="36"/>
      <c r="BP139" s="24"/>
      <c r="BQ139" s="25"/>
      <c r="BR139" s="36"/>
      <c r="BS139" s="36"/>
      <c r="BT139" s="37"/>
      <c r="BU139" s="36"/>
      <c r="BV139" s="24"/>
      <c r="BW139" s="25"/>
      <c r="BX139" s="36"/>
      <c r="BY139" s="36"/>
      <c r="BZ139" s="37"/>
      <c r="CA139" s="36"/>
      <c r="CB139" s="24"/>
      <c r="CC139" s="25"/>
      <c r="CD139" s="36"/>
      <c r="CE139" s="36"/>
      <c r="CF139" s="37"/>
      <c r="CG139" s="36"/>
      <c r="CH139" s="24"/>
      <c r="CI139" s="25"/>
      <c r="CJ139" s="36"/>
      <c r="CK139" s="36"/>
      <c r="CL139" s="37"/>
      <c r="CM139" s="36"/>
      <c r="CN139" s="24"/>
      <c r="CO139" s="25"/>
      <c r="CP139" s="36"/>
      <c r="CQ139" s="36"/>
      <c r="CR139" s="37"/>
      <c r="CS139" s="36"/>
      <c r="CT139" s="24"/>
      <c r="CU139" s="25"/>
      <c r="CV139" s="36"/>
      <c r="CW139" s="36"/>
      <c r="CX139" s="37"/>
      <c r="CY139" s="36"/>
      <c r="CZ139" s="24"/>
      <c r="DA139" s="25"/>
      <c r="DB139" s="36"/>
      <c r="DC139" s="36"/>
      <c r="DD139" s="37"/>
      <c r="DE139" s="36"/>
      <c r="DF139" s="24"/>
      <c r="DG139" s="25"/>
      <c r="DH139" s="36"/>
      <c r="DI139" s="36"/>
      <c r="DJ139" s="37"/>
      <c r="DK139" s="36"/>
      <c r="DL139" s="24"/>
      <c r="DM139" s="25"/>
      <c r="DN139" s="36"/>
      <c r="DO139" s="36"/>
      <c r="DP139" s="37"/>
      <c r="DQ139" s="36"/>
      <c r="DR139" s="24"/>
      <c r="DS139" s="25"/>
      <c r="DT139" s="36"/>
      <c r="DU139" s="36"/>
      <c r="DV139" s="37"/>
      <c r="DW139" s="36"/>
      <c r="DX139" s="24"/>
      <c r="DY139" s="25"/>
      <c r="DZ139" s="36"/>
      <c r="EA139" s="36"/>
      <c r="EB139" s="37"/>
      <c r="EC139" s="36"/>
      <c r="ED139" s="24"/>
      <c r="EE139" s="25"/>
      <c r="EF139" s="36"/>
      <c r="EG139" s="36"/>
      <c r="EH139" s="37"/>
      <c r="EI139" s="36"/>
      <c r="EJ139" s="24"/>
      <c r="EK139" s="25"/>
      <c r="EL139" s="36"/>
      <c r="EM139" s="36"/>
      <c r="EN139" s="37"/>
      <c r="EO139" s="36"/>
      <c r="EP139" s="24"/>
      <c r="EQ139" s="25"/>
      <c r="ER139" s="36"/>
      <c r="ES139" s="36"/>
      <c r="ET139" s="37"/>
      <c r="EU139" s="36"/>
      <c r="EV139" s="24"/>
      <c r="EW139" s="25"/>
      <c r="EX139" s="36"/>
      <c r="EY139" s="36"/>
      <c r="EZ139" s="37"/>
      <c r="FA139" s="36"/>
      <c r="FB139" s="24"/>
      <c r="FC139" s="25"/>
      <c r="FD139" s="36"/>
      <c r="FE139" s="36"/>
      <c r="FF139" s="37"/>
      <c r="FG139" s="36"/>
      <c r="FH139" s="24"/>
      <c r="FI139" s="25"/>
      <c r="FJ139" s="36"/>
      <c r="FK139" s="36"/>
      <c r="FL139" s="37"/>
      <c r="FM139" s="36"/>
      <c r="FN139" s="24"/>
      <c r="FO139" s="25"/>
      <c r="FP139" s="36"/>
      <c r="FQ139" s="36"/>
      <c r="FR139" s="37"/>
      <c r="FS139" s="36"/>
      <c r="FT139" s="24"/>
      <c r="FU139" s="25"/>
      <c r="FV139" s="36"/>
      <c r="FW139" s="36"/>
      <c r="FX139" s="37"/>
      <c r="FY139" s="36"/>
      <c r="FZ139" s="24"/>
      <c r="GA139" s="25"/>
      <c r="GB139" s="36"/>
      <c r="GC139" s="36"/>
      <c r="GD139" s="37"/>
      <c r="GE139" s="36"/>
      <c r="GF139" s="24"/>
      <c r="GG139" s="25"/>
      <c r="GH139" s="36"/>
      <c r="GI139" s="36"/>
      <c r="GJ139" s="37"/>
      <c r="GK139" s="36"/>
      <c r="GL139" s="24"/>
      <c r="GM139" s="25"/>
      <c r="GN139" s="36"/>
      <c r="GO139" s="36"/>
      <c r="GP139" s="37"/>
      <c r="GQ139" s="36"/>
      <c r="GR139" s="24"/>
      <c r="GS139" s="25"/>
      <c r="GT139" s="36"/>
      <c r="GU139" s="36"/>
      <c r="GV139" s="37"/>
      <c r="GW139" s="36"/>
      <c r="GX139" s="24"/>
      <c r="GY139" s="25"/>
      <c r="GZ139" s="36"/>
      <c r="HA139" s="36"/>
      <c r="HB139" s="37"/>
      <c r="HC139" s="36"/>
      <c r="HD139" s="24"/>
      <c r="HE139" s="25"/>
      <c r="HF139" s="36"/>
      <c r="HG139" s="36"/>
      <c r="HH139" s="37"/>
      <c r="HI139" s="36"/>
      <c r="HJ139" s="24"/>
      <c r="HK139" s="25"/>
      <c r="HL139" s="36"/>
      <c r="HM139" s="36"/>
      <c r="HN139" s="37"/>
      <c r="HO139" s="36"/>
      <c r="HP139" s="24"/>
      <c r="HQ139" s="25"/>
      <c r="HR139" s="36"/>
      <c r="HS139" s="36"/>
      <c r="HT139" s="37"/>
      <c r="HU139" s="36"/>
      <c r="HV139" s="24"/>
      <c r="HW139" s="25"/>
      <c r="HX139" s="36"/>
      <c r="HY139" s="36"/>
      <c r="HZ139" s="37"/>
      <c r="IA139" s="36"/>
      <c r="IB139" s="24"/>
      <c r="IC139" s="25"/>
      <c r="ID139" s="36"/>
      <c r="IE139" s="36"/>
      <c r="IF139" s="37"/>
      <c r="IG139" s="36"/>
      <c r="IH139" s="24"/>
      <c r="II139" s="25"/>
      <c r="IJ139" s="36"/>
      <c r="IK139" s="36"/>
      <c r="IL139" s="37"/>
      <c r="IM139" s="36"/>
      <c r="IN139" s="24"/>
      <c r="IO139" s="25"/>
      <c r="IP139" s="36"/>
      <c r="IQ139" s="36"/>
      <c r="IR139" s="37"/>
      <c r="IS139" s="36"/>
      <c r="IT139" s="24"/>
      <c r="IU139" s="25"/>
      <c r="IV139" s="36"/>
      <c r="IW139" s="36"/>
      <c r="IX139" s="37"/>
      <c r="IY139" s="36"/>
      <c r="IZ139" s="24"/>
      <c r="JA139" s="25"/>
      <c r="JB139" s="36"/>
      <c r="JC139" s="36"/>
      <c r="JD139" s="37"/>
      <c r="JE139" s="36"/>
      <c r="JF139" s="24"/>
      <c r="JG139" s="25"/>
      <c r="JH139" s="36"/>
      <c r="JI139" s="36"/>
      <c r="JJ139" s="37"/>
    </row>
    <row r="140" spans="1:270" ht="15.75" customHeight="1">
      <c r="A140" s="106" t="s">
        <v>209</v>
      </c>
      <c r="B140" s="107"/>
      <c r="C140" s="107"/>
      <c r="D140" s="107"/>
      <c r="E140" s="107"/>
      <c r="F140" s="107"/>
      <c r="G140" s="107"/>
      <c r="H140" s="108"/>
      <c r="I140" s="2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</row>
    <row r="141" spans="1:270" ht="15.75" customHeight="1">
      <c r="A141" s="109" t="s">
        <v>210</v>
      </c>
      <c r="B141" s="107"/>
      <c r="C141" s="107"/>
      <c r="D141" s="107"/>
      <c r="E141" s="107"/>
      <c r="F141" s="107"/>
      <c r="G141" s="107"/>
      <c r="H141" s="108"/>
      <c r="I141" s="4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</row>
    <row r="142" spans="1:270" ht="15.75" customHeight="1">
      <c r="A142" s="7" t="s">
        <v>6</v>
      </c>
      <c r="B142" s="7" t="s">
        <v>7</v>
      </c>
      <c r="C142" s="7" t="s">
        <v>8</v>
      </c>
      <c r="D142" s="7" t="s">
        <v>9</v>
      </c>
      <c r="E142" s="7" t="s">
        <v>10</v>
      </c>
      <c r="F142" s="7" t="s">
        <v>11</v>
      </c>
      <c r="G142" s="7" t="s">
        <v>12</v>
      </c>
      <c r="H142" s="7" t="s">
        <v>13</v>
      </c>
      <c r="I142" s="41"/>
      <c r="J142" s="1"/>
      <c r="K142" s="1"/>
      <c r="L142" s="1"/>
      <c r="M142" s="97"/>
      <c r="N142" s="97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</row>
    <row r="143" spans="1:270" ht="15.75" customHeight="1">
      <c r="A143" s="8">
        <v>1</v>
      </c>
      <c r="B143" s="8" t="s">
        <v>211</v>
      </c>
      <c r="C143" s="9" t="s">
        <v>212</v>
      </c>
      <c r="D143" s="8" t="s">
        <v>61</v>
      </c>
      <c r="E143" s="8"/>
      <c r="F143" s="119">
        <v>10</v>
      </c>
      <c r="G143" s="12" t="s">
        <v>82</v>
      </c>
      <c r="H143" s="8"/>
      <c r="I143" s="47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/>
      <c r="EK143" s="44"/>
      <c r="EL143" s="44"/>
      <c r="EM143" s="44"/>
      <c r="EN143" s="44"/>
      <c r="EO143" s="44"/>
      <c r="EP143" s="44"/>
      <c r="EQ143" s="44"/>
      <c r="ER143" s="44"/>
      <c r="ES143" s="44"/>
      <c r="ET143" s="44"/>
      <c r="EU143" s="44"/>
      <c r="EV143" s="44"/>
      <c r="EW143" s="44"/>
      <c r="EX143" s="44"/>
      <c r="EY143" s="44"/>
      <c r="EZ143" s="44"/>
      <c r="FA143" s="44"/>
      <c r="FB143" s="44"/>
      <c r="FC143" s="44"/>
      <c r="FD143" s="44"/>
      <c r="FE143" s="44"/>
      <c r="FF143" s="44"/>
      <c r="FG143" s="44"/>
      <c r="FH143" s="44"/>
      <c r="FI143" s="44"/>
      <c r="FJ143" s="44"/>
      <c r="FK143" s="44"/>
      <c r="FL143" s="44"/>
      <c r="FM143" s="44"/>
      <c r="FN143" s="44"/>
      <c r="FO143" s="44"/>
      <c r="FP143" s="44"/>
      <c r="FQ143" s="44"/>
      <c r="FR143" s="44"/>
      <c r="FS143" s="44"/>
      <c r="FT143" s="44"/>
      <c r="FU143" s="44"/>
      <c r="FV143" s="44"/>
      <c r="FW143" s="44"/>
      <c r="FX143" s="44"/>
      <c r="FY143" s="44"/>
      <c r="FZ143" s="44"/>
      <c r="GA143" s="44"/>
      <c r="GB143" s="44"/>
      <c r="GC143" s="44"/>
      <c r="GD143" s="44"/>
      <c r="GE143" s="44"/>
      <c r="GF143" s="44"/>
      <c r="GG143" s="44"/>
      <c r="GH143" s="44"/>
      <c r="GI143" s="44"/>
      <c r="GJ143" s="44"/>
      <c r="GK143" s="44"/>
      <c r="GL143" s="44"/>
      <c r="GM143" s="44"/>
      <c r="GN143" s="44"/>
      <c r="GO143" s="44"/>
      <c r="GP143" s="44"/>
      <c r="GQ143" s="44"/>
      <c r="GR143" s="44"/>
      <c r="GS143" s="44"/>
      <c r="GT143" s="44"/>
      <c r="GU143" s="44"/>
      <c r="GV143" s="44"/>
      <c r="GW143" s="44"/>
      <c r="GX143" s="44"/>
      <c r="GY143" s="44"/>
      <c r="GZ143" s="44"/>
      <c r="HA143" s="44"/>
      <c r="HB143" s="44"/>
      <c r="HC143" s="44"/>
      <c r="HD143" s="44"/>
      <c r="HE143" s="44"/>
      <c r="HF143" s="44"/>
      <c r="HG143" s="44"/>
      <c r="HH143" s="44"/>
      <c r="HI143" s="44"/>
      <c r="HJ143" s="44"/>
      <c r="HK143" s="44"/>
      <c r="HL143" s="44"/>
      <c r="HM143" s="44"/>
      <c r="HN143" s="44"/>
      <c r="HO143" s="44"/>
      <c r="HP143" s="44"/>
      <c r="HQ143" s="44"/>
      <c r="HR143" s="44"/>
      <c r="HS143" s="44"/>
      <c r="HT143" s="44"/>
      <c r="HU143" s="44"/>
      <c r="HV143" s="44"/>
      <c r="HW143" s="44"/>
      <c r="HX143" s="44"/>
      <c r="HY143" s="44"/>
      <c r="HZ143" s="44"/>
      <c r="IA143" s="44"/>
      <c r="IB143" s="44"/>
      <c r="IC143" s="44"/>
      <c r="ID143" s="44"/>
      <c r="IE143" s="44"/>
      <c r="IF143" s="44"/>
      <c r="IG143" s="44"/>
      <c r="IH143" s="44"/>
      <c r="II143" s="44"/>
      <c r="IJ143" s="44"/>
      <c r="IK143" s="44"/>
      <c r="IL143" s="44"/>
      <c r="IM143" s="44"/>
      <c r="IN143" s="44"/>
      <c r="IO143" s="44"/>
      <c r="IP143" s="44"/>
      <c r="IQ143" s="44"/>
      <c r="IR143" s="44"/>
      <c r="IS143" s="44"/>
      <c r="IT143" s="44"/>
      <c r="IU143" s="44"/>
      <c r="IV143" s="44"/>
      <c r="IW143" s="44"/>
      <c r="IX143" s="44"/>
      <c r="IY143" s="44"/>
      <c r="IZ143" s="44"/>
      <c r="JA143" s="44"/>
      <c r="JB143" s="44"/>
      <c r="JC143" s="44"/>
      <c r="JD143" s="44"/>
      <c r="JE143" s="44"/>
      <c r="JF143" s="44"/>
      <c r="JG143" s="44"/>
      <c r="JH143" s="44"/>
      <c r="JI143" s="44"/>
      <c r="JJ143" s="44"/>
    </row>
    <row r="144" spans="1:270" ht="15.75" customHeight="1">
      <c r="A144" s="8">
        <v>2</v>
      </c>
      <c r="B144" s="82" t="s">
        <v>213</v>
      </c>
      <c r="C144" s="9" t="s">
        <v>214</v>
      </c>
      <c r="D144" s="8" t="s">
        <v>16</v>
      </c>
      <c r="E144" s="8"/>
      <c r="F144" s="123"/>
      <c r="G144" s="12"/>
      <c r="H144" s="8"/>
      <c r="I144" s="26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/>
      <c r="BQ144" s="44"/>
      <c r="BR144" s="44"/>
      <c r="BS144" s="44"/>
      <c r="BT144" s="44"/>
      <c r="BU144" s="44"/>
      <c r="BV144" s="44"/>
      <c r="BW144" s="44"/>
      <c r="BX144" s="44"/>
      <c r="BY144" s="44"/>
      <c r="BZ144" s="44"/>
      <c r="CA144" s="44"/>
      <c r="CB144" s="44"/>
      <c r="CC144" s="44"/>
      <c r="CD144" s="44"/>
      <c r="CE144" s="44"/>
      <c r="CF144" s="44"/>
      <c r="CG144" s="44"/>
      <c r="CH144" s="44"/>
      <c r="CI144" s="44"/>
      <c r="CJ144" s="44"/>
      <c r="CK144" s="44"/>
      <c r="CL144" s="44"/>
      <c r="CM144" s="44"/>
      <c r="CN144" s="44"/>
      <c r="CO144" s="44"/>
      <c r="CP144" s="44"/>
      <c r="CQ144" s="44"/>
      <c r="CR144" s="44"/>
      <c r="CS144" s="44"/>
      <c r="CT144" s="44"/>
      <c r="CU144" s="44"/>
      <c r="CV144" s="44"/>
      <c r="CW144" s="44"/>
      <c r="CX144" s="44"/>
      <c r="CY144" s="44"/>
      <c r="CZ144" s="44"/>
      <c r="DA144" s="44"/>
      <c r="DB144" s="44"/>
      <c r="DC144" s="44"/>
      <c r="DD144" s="44"/>
      <c r="DE144" s="44"/>
      <c r="DF144" s="44"/>
      <c r="DG144" s="44"/>
      <c r="DH144" s="44"/>
      <c r="DI144" s="44"/>
      <c r="DJ144" s="44"/>
      <c r="DK144" s="44"/>
      <c r="DL144" s="44"/>
      <c r="DM144" s="44"/>
      <c r="DN144" s="44"/>
      <c r="DO144" s="44"/>
      <c r="DP144" s="44"/>
      <c r="DQ144" s="44"/>
      <c r="DR144" s="44"/>
      <c r="DS144" s="44"/>
      <c r="DT144" s="44"/>
      <c r="DU144" s="44"/>
      <c r="DV144" s="44"/>
      <c r="DW144" s="44"/>
      <c r="DX144" s="44"/>
      <c r="DY144" s="44"/>
      <c r="DZ144" s="44"/>
      <c r="EA144" s="44"/>
      <c r="EB144" s="44"/>
      <c r="EC144" s="44"/>
      <c r="ED144" s="44"/>
      <c r="EE144" s="44"/>
      <c r="EF144" s="44"/>
      <c r="EG144" s="44"/>
      <c r="EH144" s="44"/>
      <c r="EI144" s="44"/>
      <c r="EJ144" s="44"/>
      <c r="EK144" s="44"/>
      <c r="EL144" s="44"/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/>
      <c r="EX144" s="44"/>
      <c r="EY144" s="44"/>
      <c r="EZ144" s="44"/>
      <c r="FA144" s="44"/>
      <c r="FB144" s="44"/>
      <c r="FC144" s="44"/>
      <c r="FD144" s="44"/>
      <c r="FE144" s="44"/>
      <c r="FF144" s="44"/>
      <c r="FG144" s="44"/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/>
      <c r="FS144" s="44"/>
      <c r="FT144" s="44"/>
      <c r="FU144" s="44"/>
      <c r="FV144" s="44"/>
      <c r="FW144" s="44"/>
      <c r="FX144" s="44"/>
      <c r="FY144" s="44"/>
      <c r="FZ144" s="44"/>
      <c r="GA144" s="44"/>
      <c r="GB144" s="44"/>
      <c r="GC144" s="44"/>
      <c r="GD144" s="44"/>
      <c r="GE144" s="44"/>
      <c r="GF144" s="44"/>
      <c r="GG144" s="44"/>
      <c r="GH144" s="44"/>
      <c r="GI144" s="44"/>
      <c r="GJ144" s="44"/>
      <c r="GK144" s="44"/>
      <c r="GL144" s="44"/>
      <c r="GM144" s="44"/>
      <c r="GN144" s="44"/>
      <c r="GO144" s="44"/>
      <c r="GP144" s="44"/>
      <c r="GQ144" s="44"/>
      <c r="GR144" s="44"/>
      <c r="GS144" s="44"/>
      <c r="GT144" s="44"/>
      <c r="GU144" s="44"/>
      <c r="GV144" s="44"/>
      <c r="GW144" s="44"/>
      <c r="GX144" s="44"/>
      <c r="GY144" s="44"/>
      <c r="GZ144" s="44"/>
      <c r="HA144" s="44"/>
      <c r="HB144" s="44"/>
      <c r="HC144" s="44"/>
      <c r="HD144" s="44"/>
      <c r="HE144" s="44"/>
      <c r="HF144" s="44"/>
      <c r="HG144" s="44"/>
      <c r="HH144" s="44"/>
      <c r="HI144" s="44"/>
      <c r="HJ144" s="44"/>
      <c r="HK144" s="44"/>
      <c r="HL144" s="44"/>
      <c r="HM144" s="44"/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/>
      <c r="IP144" s="44"/>
      <c r="IQ144" s="44"/>
      <c r="IR144" s="44"/>
      <c r="IS144" s="44"/>
      <c r="IT144" s="44"/>
      <c r="IU144" s="44"/>
      <c r="IV144" s="44"/>
      <c r="IW144" s="44"/>
      <c r="IX144" s="44"/>
      <c r="IY144" s="44"/>
      <c r="IZ144" s="44"/>
      <c r="JA144" s="44"/>
      <c r="JB144" s="44"/>
      <c r="JC144" s="44"/>
      <c r="JD144" s="44"/>
      <c r="JE144" s="44"/>
      <c r="JF144" s="44"/>
      <c r="JG144" s="44"/>
      <c r="JH144" s="44"/>
      <c r="JI144" s="44"/>
      <c r="JJ144" s="44"/>
    </row>
    <row r="145" spans="1:270" ht="15.75" customHeight="1">
      <c r="A145" s="8">
        <v>3</v>
      </c>
      <c r="B145" s="8" t="s">
        <v>215</v>
      </c>
      <c r="C145" s="9" t="s">
        <v>216</v>
      </c>
      <c r="D145" s="8" t="s">
        <v>16</v>
      </c>
      <c r="E145" s="8"/>
      <c r="F145" s="123"/>
      <c r="G145" s="12" t="s">
        <v>82</v>
      </c>
      <c r="H145" s="8"/>
      <c r="I145" s="26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/>
      <c r="BX145" s="44"/>
      <c r="BY145" s="44"/>
      <c r="BZ145" s="44"/>
      <c r="CA145" s="44"/>
      <c r="CB145" s="44"/>
      <c r="CC145" s="44"/>
      <c r="CD145" s="44"/>
      <c r="CE145" s="44"/>
      <c r="CF145" s="44"/>
      <c r="CG145" s="44"/>
      <c r="CH145" s="44"/>
      <c r="CI145" s="44"/>
      <c r="CJ145" s="44"/>
      <c r="CK145" s="44"/>
      <c r="CL145" s="44"/>
      <c r="CM145" s="44"/>
      <c r="CN145" s="44"/>
      <c r="CO145" s="44"/>
      <c r="CP145" s="44"/>
      <c r="CQ145" s="44"/>
      <c r="CR145" s="44"/>
      <c r="CS145" s="44"/>
      <c r="CT145" s="44"/>
      <c r="CU145" s="44"/>
      <c r="CV145" s="44"/>
      <c r="CW145" s="44"/>
      <c r="CX145" s="44"/>
      <c r="CY145" s="44"/>
      <c r="CZ145" s="44"/>
      <c r="DA145" s="44"/>
      <c r="DB145" s="44"/>
      <c r="DC145" s="44"/>
      <c r="DD145" s="44"/>
      <c r="DE145" s="44"/>
      <c r="DF145" s="44"/>
      <c r="DG145" s="44"/>
      <c r="DH145" s="44"/>
      <c r="DI145" s="44"/>
      <c r="DJ145" s="44"/>
      <c r="DK145" s="44"/>
      <c r="DL145" s="44"/>
      <c r="DM145" s="44"/>
      <c r="DN145" s="44"/>
      <c r="DO145" s="44"/>
      <c r="DP145" s="44"/>
      <c r="DQ145" s="44"/>
      <c r="DR145" s="44"/>
      <c r="DS145" s="44"/>
      <c r="DT145" s="44"/>
      <c r="DU145" s="44"/>
      <c r="DV145" s="44"/>
      <c r="DW145" s="44"/>
      <c r="DX145" s="44"/>
      <c r="DY145" s="44"/>
      <c r="DZ145" s="44"/>
      <c r="EA145" s="44"/>
      <c r="EB145" s="44"/>
      <c r="EC145" s="44"/>
      <c r="ED145" s="44"/>
      <c r="EE145" s="44"/>
      <c r="EF145" s="44"/>
      <c r="EG145" s="44"/>
      <c r="EH145" s="44"/>
      <c r="EI145" s="44"/>
      <c r="EJ145" s="44"/>
      <c r="EK145" s="44"/>
      <c r="EL145" s="44"/>
      <c r="EM145" s="44"/>
      <c r="EN145" s="44"/>
      <c r="EO145" s="44"/>
      <c r="EP145" s="44"/>
      <c r="EQ145" s="44"/>
      <c r="ER145" s="44"/>
      <c r="ES145" s="44"/>
      <c r="ET145" s="44"/>
      <c r="EU145" s="44"/>
      <c r="EV145" s="44"/>
      <c r="EW145" s="44"/>
      <c r="EX145" s="44"/>
      <c r="EY145" s="44"/>
      <c r="EZ145" s="44"/>
      <c r="FA145" s="44"/>
      <c r="FB145" s="44"/>
      <c r="FC145" s="44"/>
      <c r="FD145" s="44"/>
      <c r="FE145" s="44"/>
      <c r="FF145" s="44"/>
      <c r="FG145" s="44"/>
      <c r="FH145" s="44"/>
      <c r="FI145" s="44"/>
      <c r="FJ145" s="44"/>
      <c r="FK145" s="44"/>
      <c r="FL145" s="44"/>
      <c r="FM145" s="44"/>
      <c r="FN145" s="44"/>
      <c r="FO145" s="44"/>
      <c r="FP145" s="44"/>
      <c r="FQ145" s="44"/>
      <c r="FR145" s="44"/>
      <c r="FS145" s="44"/>
      <c r="FT145" s="44"/>
      <c r="FU145" s="44"/>
      <c r="FV145" s="44"/>
      <c r="FW145" s="44"/>
      <c r="FX145" s="44"/>
      <c r="FY145" s="44"/>
      <c r="FZ145" s="44"/>
      <c r="GA145" s="44"/>
      <c r="GB145" s="44"/>
      <c r="GC145" s="44"/>
      <c r="GD145" s="44"/>
      <c r="GE145" s="44"/>
      <c r="GF145" s="44"/>
      <c r="GG145" s="44"/>
      <c r="GH145" s="44"/>
      <c r="GI145" s="44"/>
      <c r="GJ145" s="44"/>
      <c r="GK145" s="44"/>
      <c r="GL145" s="44"/>
      <c r="GM145" s="44"/>
      <c r="GN145" s="44"/>
      <c r="GO145" s="44"/>
      <c r="GP145" s="44"/>
      <c r="GQ145" s="44"/>
      <c r="GR145" s="44"/>
      <c r="GS145" s="44"/>
      <c r="GT145" s="44"/>
      <c r="GU145" s="44"/>
      <c r="GV145" s="44"/>
      <c r="GW145" s="44"/>
      <c r="GX145" s="44"/>
      <c r="GY145" s="44"/>
      <c r="GZ145" s="44"/>
      <c r="HA145" s="44"/>
      <c r="HB145" s="44"/>
      <c r="HC145" s="44"/>
      <c r="HD145" s="44"/>
      <c r="HE145" s="44"/>
      <c r="HF145" s="44"/>
      <c r="HG145" s="44"/>
      <c r="HH145" s="44"/>
      <c r="HI145" s="44"/>
      <c r="HJ145" s="44"/>
      <c r="HK145" s="44"/>
      <c r="HL145" s="44"/>
      <c r="HM145" s="44"/>
      <c r="HN145" s="44"/>
      <c r="HO145" s="44"/>
      <c r="HP145" s="44"/>
      <c r="HQ145" s="44"/>
      <c r="HR145" s="44"/>
      <c r="HS145" s="44"/>
      <c r="HT145" s="44"/>
      <c r="HU145" s="44"/>
      <c r="HV145" s="44"/>
      <c r="HW145" s="44"/>
      <c r="HX145" s="44"/>
      <c r="HY145" s="44"/>
      <c r="HZ145" s="44"/>
      <c r="IA145" s="44"/>
      <c r="IB145" s="44"/>
      <c r="IC145" s="44"/>
      <c r="ID145" s="44"/>
      <c r="IE145" s="44"/>
      <c r="IF145" s="44"/>
      <c r="IG145" s="44"/>
      <c r="IH145" s="44"/>
      <c r="II145" s="44"/>
      <c r="IJ145" s="44"/>
      <c r="IK145" s="44"/>
      <c r="IL145" s="44"/>
      <c r="IM145" s="44"/>
      <c r="IN145" s="44"/>
      <c r="IO145" s="44"/>
      <c r="IP145" s="44"/>
      <c r="IQ145" s="44"/>
      <c r="IR145" s="44"/>
      <c r="IS145" s="44"/>
      <c r="IT145" s="44"/>
      <c r="IU145" s="44"/>
      <c r="IV145" s="44"/>
      <c r="IW145" s="44"/>
      <c r="IX145" s="44"/>
      <c r="IY145" s="44"/>
      <c r="IZ145" s="44"/>
      <c r="JA145" s="44"/>
      <c r="JB145" s="44"/>
      <c r="JC145" s="44"/>
      <c r="JD145" s="44"/>
      <c r="JE145" s="44"/>
      <c r="JF145" s="44"/>
      <c r="JG145" s="44"/>
      <c r="JH145" s="44"/>
      <c r="JI145" s="44"/>
      <c r="JJ145" s="44"/>
    </row>
    <row r="146" spans="1:270" ht="15.75" customHeight="1">
      <c r="A146" s="8">
        <v>4</v>
      </c>
      <c r="B146" s="8" t="s">
        <v>217</v>
      </c>
      <c r="C146" s="83" t="s">
        <v>218</v>
      </c>
      <c r="D146" s="8" t="s">
        <v>120</v>
      </c>
      <c r="E146" s="92"/>
      <c r="F146" s="123"/>
      <c r="G146" s="12"/>
      <c r="H146" s="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  <c r="JC146" s="18"/>
      <c r="JD146" s="18"/>
      <c r="JE146" s="18"/>
      <c r="JF146" s="18"/>
      <c r="JG146" s="18"/>
      <c r="JH146" s="18"/>
      <c r="JI146" s="18"/>
      <c r="JJ146" s="18"/>
    </row>
    <row r="147" spans="1:270" ht="15.75" customHeight="1">
      <c r="A147" s="8">
        <v>5</v>
      </c>
      <c r="B147" s="8" t="s">
        <v>219</v>
      </c>
      <c r="C147" s="9" t="s">
        <v>220</v>
      </c>
      <c r="D147" s="8" t="s">
        <v>221</v>
      </c>
      <c r="E147" s="8"/>
      <c r="F147" s="8">
        <v>10</v>
      </c>
      <c r="G147" s="12"/>
      <c r="H147" s="8"/>
      <c r="I147" s="26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  <c r="BF147" s="44"/>
      <c r="BG147" s="44"/>
      <c r="BH147" s="44"/>
      <c r="BI147" s="44"/>
      <c r="BJ147" s="44"/>
      <c r="BK147" s="44"/>
      <c r="BL147" s="44"/>
      <c r="BM147" s="44"/>
      <c r="BN147" s="44"/>
      <c r="BO147" s="44"/>
      <c r="BP147" s="44"/>
      <c r="BQ147" s="44"/>
      <c r="BR147" s="44"/>
      <c r="BS147" s="44"/>
      <c r="BT147" s="44"/>
      <c r="BU147" s="44"/>
      <c r="BV147" s="44"/>
      <c r="BW147" s="44"/>
      <c r="BX147" s="44"/>
      <c r="BY147" s="44"/>
      <c r="BZ147" s="44"/>
      <c r="CA147" s="44"/>
      <c r="CB147" s="44"/>
      <c r="CC147" s="44"/>
      <c r="CD147" s="44"/>
      <c r="CE147" s="44"/>
      <c r="CF147" s="44"/>
      <c r="CG147" s="44"/>
      <c r="CH147" s="44"/>
      <c r="CI147" s="44"/>
      <c r="CJ147" s="44"/>
      <c r="CK147" s="44"/>
      <c r="CL147" s="44"/>
      <c r="CM147" s="44"/>
      <c r="CN147" s="44"/>
      <c r="CO147" s="44"/>
      <c r="CP147" s="44"/>
      <c r="CQ147" s="44"/>
      <c r="CR147" s="44"/>
      <c r="CS147" s="44"/>
      <c r="CT147" s="44"/>
      <c r="CU147" s="44"/>
      <c r="CV147" s="44"/>
      <c r="CW147" s="44"/>
      <c r="CX147" s="44"/>
      <c r="CY147" s="44"/>
      <c r="CZ147" s="44"/>
      <c r="DA147" s="44"/>
      <c r="DB147" s="44"/>
      <c r="DC147" s="44"/>
      <c r="DD147" s="44"/>
      <c r="DE147" s="44"/>
      <c r="DF147" s="44"/>
      <c r="DG147" s="44"/>
      <c r="DH147" s="44"/>
      <c r="DI147" s="44"/>
      <c r="DJ147" s="44"/>
      <c r="DK147" s="44"/>
      <c r="DL147" s="44"/>
      <c r="DM147" s="44"/>
      <c r="DN147" s="44"/>
      <c r="DO147" s="44"/>
      <c r="DP147" s="44"/>
      <c r="DQ147" s="44"/>
      <c r="DR147" s="44"/>
      <c r="DS147" s="44"/>
      <c r="DT147" s="44"/>
      <c r="DU147" s="44"/>
      <c r="DV147" s="44"/>
      <c r="DW147" s="44"/>
      <c r="DX147" s="44"/>
      <c r="DY147" s="44"/>
      <c r="DZ147" s="44"/>
      <c r="EA147" s="44"/>
      <c r="EB147" s="44"/>
      <c r="EC147" s="44"/>
      <c r="ED147" s="44"/>
      <c r="EE147" s="44"/>
      <c r="EF147" s="44"/>
      <c r="EG147" s="44"/>
      <c r="EH147" s="44"/>
      <c r="EI147" s="44"/>
      <c r="EJ147" s="44"/>
      <c r="EK147" s="44"/>
      <c r="EL147" s="44"/>
      <c r="EM147" s="44"/>
      <c r="EN147" s="44"/>
      <c r="EO147" s="44"/>
      <c r="EP147" s="44"/>
      <c r="EQ147" s="44"/>
      <c r="ER147" s="44"/>
      <c r="ES147" s="44"/>
      <c r="ET147" s="44"/>
      <c r="EU147" s="44"/>
      <c r="EV147" s="44"/>
      <c r="EW147" s="44"/>
      <c r="EX147" s="44"/>
      <c r="EY147" s="44"/>
      <c r="EZ147" s="44"/>
      <c r="FA147" s="44"/>
      <c r="FB147" s="44"/>
      <c r="FC147" s="44"/>
      <c r="FD147" s="44"/>
      <c r="FE147" s="44"/>
      <c r="FF147" s="44"/>
      <c r="FG147" s="44"/>
      <c r="FH147" s="44"/>
      <c r="FI147" s="44"/>
      <c r="FJ147" s="44"/>
      <c r="FK147" s="44"/>
      <c r="FL147" s="44"/>
      <c r="FM147" s="44"/>
      <c r="FN147" s="44"/>
      <c r="FO147" s="44"/>
      <c r="FP147" s="44"/>
      <c r="FQ147" s="44"/>
      <c r="FR147" s="44"/>
      <c r="FS147" s="44"/>
      <c r="FT147" s="44"/>
      <c r="FU147" s="44"/>
      <c r="FV147" s="44"/>
      <c r="FW147" s="44"/>
      <c r="FX147" s="44"/>
      <c r="FY147" s="44"/>
      <c r="FZ147" s="44"/>
      <c r="GA147" s="44"/>
      <c r="GB147" s="44"/>
      <c r="GC147" s="44"/>
      <c r="GD147" s="44"/>
      <c r="GE147" s="44"/>
      <c r="GF147" s="44"/>
      <c r="GG147" s="44"/>
      <c r="GH147" s="44"/>
      <c r="GI147" s="44"/>
      <c r="GJ147" s="44"/>
      <c r="GK147" s="44"/>
      <c r="GL147" s="44"/>
      <c r="GM147" s="44"/>
      <c r="GN147" s="44"/>
      <c r="GO147" s="44"/>
      <c r="GP147" s="44"/>
      <c r="GQ147" s="44"/>
      <c r="GR147" s="44"/>
      <c r="GS147" s="44"/>
      <c r="GT147" s="44"/>
      <c r="GU147" s="44"/>
      <c r="GV147" s="44"/>
      <c r="GW147" s="44"/>
      <c r="GX147" s="44"/>
      <c r="GY147" s="44"/>
      <c r="GZ147" s="44"/>
      <c r="HA147" s="44"/>
      <c r="HB147" s="44"/>
      <c r="HC147" s="44"/>
      <c r="HD147" s="44"/>
      <c r="HE147" s="44"/>
      <c r="HF147" s="44"/>
      <c r="HG147" s="44"/>
      <c r="HH147" s="44"/>
      <c r="HI147" s="44"/>
      <c r="HJ147" s="44"/>
      <c r="HK147" s="44"/>
      <c r="HL147" s="44"/>
      <c r="HM147" s="44"/>
      <c r="HN147" s="44"/>
      <c r="HO147" s="44"/>
      <c r="HP147" s="44"/>
      <c r="HQ147" s="44"/>
      <c r="HR147" s="44"/>
      <c r="HS147" s="44"/>
      <c r="HT147" s="44"/>
      <c r="HU147" s="44"/>
      <c r="HV147" s="44"/>
      <c r="HW147" s="44"/>
      <c r="HX147" s="44"/>
      <c r="HY147" s="44"/>
      <c r="HZ147" s="44"/>
      <c r="IA147" s="44"/>
      <c r="IB147" s="44"/>
      <c r="IC147" s="44"/>
      <c r="ID147" s="44"/>
      <c r="IE147" s="44"/>
      <c r="IF147" s="44"/>
      <c r="IG147" s="44"/>
      <c r="IH147" s="44"/>
      <c r="II147" s="44"/>
      <c r="IJ147" s="44"/>
      <c r="IK147" s="44"/>
      <c r="IL147" s="44"/>
      <c r="IM147" s="44"/>
      <c r="IN147" s="44"/>
      <c r="IO147" s="44"/>
      <c r="IP147" s="44"/>
      <c r="IQ147" s="44"/>
      <c r="IR147" s="44"/>
      <c r="IS147" s="44"/>
      <c r="IT147" s="44"/>
      <c r="IU147" s="44"/>
      <c r="IV147" s="44"/>
      <c r="IW147" s="44"/>
      <c r="IX147" s="44"/>
      <c r="IY147" s="44"/>
      <c r="IZ147" s="44"/>
      <c r="JA147" s="44"/>
      <c r="JB147" s="44"/>
      <c r="JC147" s="44"/>
      <c r="JD147" s="44"/>
      <c r="JE147" s="44"/>
      <c r="JF147" s="44"/>
      <c r="JG147" s="44"/>
      <c r="JH147" s="44"/>
      <c r="JI147" s="44"/>
      <c r="JJ147" s="44"/>
    </row>
    <row r="148" spans="1:270" ht="15.75" customHeight="1">
      <c r="A148" s="8">
        <v>6</v>
      </c>
      <c r="B148" s="8" t="s">
        <v>222</v>
      </c>
      <c r="C148" s="9" t="s">
        <v>223</v>
      </c>
      <c r="D148" s="8" t="s">
        <v>221</v>
      </c>
      <c r="E148" s="8"/>
      <c r="F148" s="8">
        <v>10</v>
      </c>
      <c r="G148" s="12"/>
      <c r="H148" s="8"/>
      <c r="I148" s="26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/>
      <c r="CI148" s="44"/>
      <c r="CJ148" s="44"/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/>
      <c r="DE148" s="44"/>
      <c r="DF148" s="44"/>
      <c r="DG148" s="44"/>
      <c r="DH148" s="44"/>
      <c r="DI148" s="44"/>
      <c r="DJ148" s="44"/>
      <c r="DK148" s="44"/>
      <c r="DL148" s="44"/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/>
      <c r="EP148" s="44"/>
      <c r="EQ148" s="44"/>
      <c r="ER148" s="44"/>
      <c r="ES148" s="44"/>
      <c r="ET148" s="44"/>
      <c r="EU148" s="44"/>
      <c r="EV148" s="44"/>
      <c r="EW148" s="44"/>
      <c r="EX148" s="44"/>
      <c r="EY148" s="44"/>
      <c r="EZ148" s="44"/>
      <c r="FA148" s="44"/>
      <c r="FB148" s="44"/>
      <c r="FC148" s="44"/>
      <c r="FD148" s="44"/>
      <c r="FE148" s="44"/>
      <c r="FF148" s="44"/>
      <c r="FG148" s="44"/>
      <c r="FH148" s="44"/>
      <c r="FI148" s="44"/>
      <c r="FJ148" s="44"/>
      <c r="FK148" s="44"/>
      <c r="FL148" s="44"/>
      <c r="FM148" s="44"/>
      <c r="FN148" s="44"/>
      <c r="FO148" s="44"/>
      <c r="FP148" s="44"/>
      <c r="FQ148" s="44"/>
      <c r="FR148" s="44"/>
      <c r="FS148" s="44"/>
      <c r="FT148" s="44"/>
      <c r="FU148" s="44"/>
      <c r="FV148" s="44"/>
      <c r="FW148" s="44"/>
      <c r="FX148" s="44"/>
      <c r="FY148" s="44"/>
      <c r="FZ148" s="44"/>
      <c r="GA148" s="44"/>
      <c r="GB148" s="44"/>
      <c r="GC148" s="44"/>
      <c r="GD148" s="44"/>
      <c r="GE148" s="44"/>
      <c r="GF148" s="44"/>
      <c r="GG148" s="44"/>
      <c r="GH148" s="44"/>
      <c r="GI148" s="44"/>
      <c r="GJ148" s="44"/>
      <c r="GK148" s="44"/>
      <c r="GL148" s="44"/>
      <c r="GM148" s="44"/>
      <c r="GN148" s="44"/>
      <c r="GO148" s="44"/>
      <c r="GP148" s="44"/>
      <c r="GQ148" s="44"/>
      <c r="GR148" s="44"/>
      <c r="GS148" s="44"/>
      <c r="GT148" s="44"/>
      <c r="GU148" s="44"/>
      <c r="GV148" s="44"/>
      <c r="GW148" s="44"/>
      <c r="GX148" s="44"/>
      <c r="GY148" s="44"/>
      <c r="GZ148" s="44"/>
      <c r="HA148" s="44"/>
      <c r="HB148" s="44"/>
      <c r="HC148" s="44"/>
      <c r="HD148" s="44"/>
      <c r="HE148" s="44"/>
      <c r="HF148" s="44"/>
      <c r="HG148" s="44"/>
      <c r="HH148" s="44"/>
      <c r="HI148" s="44"/>
      <c r="HJ148" s="44"/>
      <c r="HK148" s="44"/>
      <c r="HL148" s="44"/>
      <c r="HM148" s="44"/>
      <c r="HN148" s="44"/>
      <c r="HO148" s="44"/>
      <c r="HP148" s="44"/>
      <c r="HQ148" s="44"/>
      <c r="HR148" s="44"/>
      <c r="HS148" s="44"/>
      <c r="HT148" s="44"/>
      <c r="HU148" s="44"/>
      <c r="HV148" s="44"/>
      <c r="HW148" s="44"/>
      <c r="HX148" s="44"/>
      <c r="HY148" s="44"/>
      <c r="HZ148" s="44"/>
      <c r="IA148" s="44"/>
      <c r="IB148" s="44"/>
      <c r="IC148" s="44"/>
      <c r="ID148" s="44"/>
      <c r="IE148" s="44"/>
      <c r="IF148" s="44"/>
      <c r="IG148" s="44"/>
      <c r="IH148" s="44"/>
      <c r="II148" s="44"/>
      <c r="IJ148" s="44"/>
      <c r="IK148" s="44"/>
      <c r="IL148" s="44"/>
      <c r="IM148" s="44"/>
      <c r="IN148" s="44"/>
      <c r="IO148" s="44"/>
      <c r="IP148" s="44"/>
      <c r="IQ148" s="44"/>
      <c r="IR148" s="44"/>
      <c r="IS148" s="44"/>
      <c r="IT148" s="44"/>
      <c r="IU148" s="44"/>
      <c r="IV148" s="44"/>
      <c r="IW148" s="44"/>
      <c r="IX148" s="44"/>
      <c r="IY148" s="44"/>
      <c r="IZ148" s="44"/>
      <c r="JA148" s="44"/>
      <c r="JB148" s="44"/>
      <c r="JC148" s="44"/>
      <c r="JD148" s="44"/>
      <c r="JE148" s="44"/>
      <c r="JF148" s="44"/>
      <c r="JG148" s="44"/>
      <c r="JH148" s="44"/>
      <c r="JI148" s="44"/>
      <c r="JJ148" s="44"/>
    </row>
    <row r="149" spans="1:270" ht="15.75" customHeight="1">
      <c r="A149" s="48"/>
      <c r="B149" s="14"/>
      <c r="C149" s="14" t="s">
        <v>27</v>
      </c>
      <c r="D149" s="14"/>
      <c r="E149" s="59"/>
      <c r="F149" s="14">
        <v>10</v>
      </c>
      <c r="G149" s="48"/>
      <c r="H149" s="14">
        <f>SUM(E149:F149)</f>
        <v>10</v>
      </c>
      <c r="I149" s="2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</row>
    <row r="150" spans="1:270" ht="15.75" customHeight="1">
      <c r="A150" s="69"/>
      <c r="B150" s="17"/>
      <c r="C150" s="17"/>
      <c r="D150" s="17"/>
      <c r="E150" s="47"/>
      <c r="F150" s="17"/>
      <c r="G150" s="69"/>
      <c r="H150" s="17"/>
      <c r="I150" s="17"/>
      <c r="J150" s="17"/>
      <c r="K150" s="17"/>
      <c r="L150" s="17"/>
      <c r="M150" s="47"/>
      <c r="N150" s="69"/>
      <c r="O150" s="17"/>
      <c r="P150" s="17"/>
      <c r="Q150" s="17"/>
      <c r="R150" s="47"/>
      <c r="S150" s="17"/>
      <c r="T150" s="69"/>
      <c r="U150" s="36"/>
      <c r="V150" s="36"/>
      <c r="W150" s="36"/>
      <c r="X150" s="37"/>
      <c r="Y150" s="36"/>
      <c r="Z150" s="24"/>
      <c r="AA150" s="25"/>
      <c r="AB150" s="36"/>
      <c r="AC150" s="36"/>
      <c r="AD150" s="37"/>
      <c r="AE150" s="36"/>
      <c r="AF150" s="24"/>
      <c r="AG150" s="25"/>
      <c r="AH150" s="36"/>
      <c r="AI150" s="36"/>
      <c r="AJ150" s="37"/>
      <c r="AK150" s="36"/>
      <c r="AL150" s="24"/>
      <c r="AM150" s="25"/>
      <c r="AN150" s="36"/>
      <c r="AO150" s="36"/>
      <c r="AP150" s="37"/>
      <c r="AQ150" s="36"/>
      <c r="AR150" s="24"/>
      <c r="AS150" s="25"/>
      <c r="AT150" s="36"/>
      <c r="AU150" s="36"/>
      <c r="AV150" s="37"/>
      <c r="AW150" s="36"/>
      <c r="AX150" s="24"/>
      <c r="AY150" s="25"/>
      <c r="AZ150" s="36"/>
      <c r="BA150" s="36"/>
      <c r="BB150" s="37"/>
      <c r="BC150" s="36"/>
      <c r="BD150" s="24"/>
      <c r="BE150" s="25"/>
      <c r="BF150" s="36"/>
      <c r="BG150" s="36"/>
      <c r="BH150" s="37"/>
      <c r="BI150" s="36"/>
      <c r="BJ150" s="24"/>
      <c r="BK150" s="25"/>
      <c r="BL150" s="36"/>
      <c r="BM150" s="36"/>
      <c r="BN150" s="37"/>
      <c r="BO150" s="36"/>
      <c r="BP150" s="24"/>
      <c r="BQ150" s="25"/>
      <c r="BR150" s="36"/>
      <c r="BS150" s="36"/>
      <c r="BT150" s="37"/>
      <c r="BU150" s="36"/>
      <c r="BV150" s="24"/>
      <c r="BW150" s="25"/>
      <c r="BX150" s="36"/>
      <c r="BY150" s="36"/>
      <c r="BZ150" s="37"/>
      <c r="CA150" s="36"/>
      <c r="CB150" s="24"/>
      <c r="CC150" s="25"/>
      <c r="CD150" s="36"/>
      <c r="CE150" s="36"/>
      <c r="CF150" s="37"/>
      <c r="CG150" s="36"/>
      <c r="CH150" s="24"/>
      <c r="CI150" s="25"/>
      <c r="CJ150" s="36"/>
      <c r="CK150" s="36"/>
      <c r="CL150" s="37"/>
      <c r="CM150" s="36"/>
      <c r="CN150" s="24"/>
      <c r="CO150" s="25"/>
      <c r="CP150" s="36"/>
      <c r="CQ150" s="36"/>
      <c r="CR150" s="37"/>
      <c r="CS150" s="36"/>
      <c r="CT150" s="24"/>
      <c r="CU150" s="25"/>
      <c r="CV150" s="36"/>
      <c r="CW150" s="36"/>
      <c r="CX150" s="37"/>
      <c r="CY150" s="36"/>
      <c r="CZ150" s="24"/>
      <c r="DA150" s="25"/>
      <c r="DB150" s="36"/>
      <c r="DC150" s="36"/>
      <c r="DD150" s="37"/>
      <c r="DE150" s="36"/>
      <c r="DF150" s="24"/>
      <c r="DG150" s="25"/>
      <c r="DH150" s="36"/>
      <c r="DI150" s="36"/>
      <c r="DJ150" s="37"/>
      <c r="DK150" s="36"/>
      <c r="DL150" s="24"/>
      <c r="DM150" s="25"/>
      <c r="DN150" s="36"/>
      <c r="DO150" s="36"/>
      <c r="DP150" s="37"/>
      <c r="DQ150" s="36"/>
      <c r="DR150" s="24"/>
      <c r="DS150" s="25"/>
      <c r="DT150" s="36"/>
      <c r="DU150" s="36"/>
      <c r="DV150" s="37"/>
      <c r="DW150" s="36"/>
      <c r="DX150" s="24"/>
      <c r="DY150" s="25"/>
      <c r="DZ150" s="36"/>
      <c r="EA150" s="36"/>
      <c r="EB150" s="37"/>
      <c r="EC150" s="36"/>
      <c r="ED150" s="24"/>
      <c r="EE150" s="25"/>
      <c r="EF150" s="36"/>
      <c r="EG150" s="36"/>
      <c r="EH150" s="37"/>
      <c r="EI150" s="36"/>
      <c r="EJ150" s="24"/>
      <c r="EK150" s="25"/>
      <c r="EL150" s="36"/>
      <c r="EM150" s="36"/>
      <c r="EN150" s="37"/>
      <c r="EO150" s="36"/>
      <c r="EP150" s="24"/>
      <c r="EQ150" s="25"/>
      <c r="ER150" s="36"/>
      <c r="ES150" s="36"/>
      <c r="ET150" s="37"/>
      <c r="EU150" s="36"/>
      <c r="EV150" s="24"/>
      <c r="EW150" s="25"/>
      <c r="EX150" s="36"/>
      <c r="EY150" s="36"/>
      <c r="EZ150" s="37"/>
      <c r="FA150" s="36"/>
      <c r="FB150" s="24"/>
      <c r="FC150" s="25"/>
      <c r="FD150" s="36"/>
      <c r="FE150" s="36"/>
      <c r="FF150" s="37"/>
      <c r="FG150" s="36"/>
      <c r="FH150" s="24"/>
      <c r="FI150" s="25"/>
      <c r="FJ150" s="36"/>
      <c r="FK150" s="36"/>
      <c r="FL150" s="37"/>
      <c r="FM150" s="36"/>
      <c r="FN150" s="24"/>
      <c r="FO150" s="25"/>
      <c r="FP150" s="36"/>
      <c r="FQ150" s="36"/>
      <c r="FR150" s="37"/>
      <c r="FS150" s="36"/>
      <c r="FT150" s="24"/>
      <c r="FU150" s="25"/>
      <c r="FV150" s="36"/>
      <c r="FW150" s="36"/>
      <c r="FX150" s="37"/>
      <c r="FY150" s="36"/>
      <c r="FZ150" s="24"/>
      <c r="GA150" s="25"/>
      <c r="GB150" s="36"/>
      <c r="GC150" s="36"/>
      <c r="GD150" s="37"/>
      <c r="GE150" s="36"/>
      <c r="GF150" s="24"/>
      <c r="GG150" s="25"/>
      <c r="GH150" s="36"/>
      <c r="GI150" s="36"/>
      <c r="GJ150" s="37"/>
      <c r="GK150" s="36"/>
      <c r="GL150" s="24"/>
      <c r="GM150" s="25"/>
      <c r="GN150" s="36"/>
      <c r="GO150" s="36"/>
      <c r="GP150" s="37"/>
      <c r="GQ150" s="36"/>
      <c r="GR150" s="24"/>
      <c r="GS150" s="25"/>
      <c r="GT150" s="36"/>
      <c r="GU150" s="36"/>
      <c r="GV150" s="37"/>
      <c r="GW150" s="36"/>
      <c r="GX150" s="24"/>
      <c r="GY150" s="25"/>
      <c r="GZ150" s="36"/>
      <c r="HA150" s="36"/>
      <c r="HB150" s="37"/>
      <c r="HC150" s="36"/>
      <c r="HD150" s="24"/>
      <c r="HE150" s="25"/>
      <c r="HF150" s="36"/>
      <c r="HG150" s="36"/>
      <c r="HH150" s="37"/>
      <c r="HI150" s="36"/>
      <c r="HJ150" s="24"/>
      <c r="HK150" s="25"/>
      <c r="HL150" s="36"/>
      <c r="HM150" s="36"/>
      <c r="HN150" s="37"/>
      <c r="HO150" s="36"/>
      <c r="HP150" s="24"/>
      <c r="HQ150" s="25"/>
      <c r="HR150" s="36"/>
      <c r="HS150" s="36"/>
      <c r="HT150" s="37"/>
      <c r="HU150" s="36"/>
      <c r="HV150" s="24"/>
      <c r="HW150" s="25"/>
      <c r="HX150" s="36"/>
      <c r="HY150" s="36"/>
      <c r="HZ150" s="37"/>
      <c r="IA150" s="36"/>
      <c r="IB150" s="24"/>
      <c r="IC150" s="25"/>
      <c r="ID150" s="36"/>
      <c r="IE150" s="36"/>
      <c r="IF150" s="37"/>
      <c r="IG150" s="36"/>
      <c r="IH150" s="24"/>
      <c r="II150" s="25"/>
      <c r="IJ150" s="36"/>
      <c r="IK150" s="36"/>
      <c r="IL150" s="37"/>
      <c r="IM150" s="36"/>
      <c r="IN150" s="24"/>
      <c r="IO150" s="25"/>
      <c r="IP150" s="36"/>
      <c r="IQ150" s="36"/>
      <c r="IR150" s="37"/>
      <c r="IS150" s="36"/>
      <c r="IT150" s="24"/>
      <c r="IU150" s="25"/>
      <c r="IV150" s="36"/>
      <c r="IW150" s="36"/>
      <c r="IX150" s="37"/>
      <c r="IY150" s="36"/>
      <c r="IZ150" s="24"/>
      <c r="JA150" s="25"/>
      <c r="JB150" s="36"/>
      <c r="JC150" s="36"/>
      <c r="JD150" s="37"/>
      <c r="JE150" s="36"/>
      <c r="JF150" s="24"/>
      <c r="JG150" s="25"/>
      <c r="JH150" s="36"/>
      <c r="JI150" s="36"/>
      <c r="JJ150" s="37"/>
    </row>
    <row r="151" spans="1:270" ht="15.75" customHeight="1">
      <c r="A151" s="112" t="s">
        <v>224</v>
      </c>
      <c r="B151" s="107"/>
      <c r="C151" s="107"/>
      <c r="D151" s="107"/>
      <c r="E151" s="107"/>
      <c r="F151" s="107"/>
      <c r="G151" s="107"/>
      <c r="H151" s="108"/>
      <c r="I151" s="17"/>
      <c r="J151" s="17"/>
      <c r="K151" s="17"/>
      <c r="L151" s="17"/>
      <c r="M151" s="47"/>
      <c r="N151" s="69"/>
      <c r="O151" s="17"/>
      <c r="P151" s="17"/>
      <c r="Q151" s="17"/>
      <c r="R151" s="47"/>
      <c r="S151" s="17"/>
      <c r="T151" s="69"/>
      <c r="U151" s="17"/>
      <c r="V151" s="17"/>
      <c r="W151" s="17"/>
      <c r="X151" s="47"/>
      <c r="Y151" s="17"/>
      <c r="Z151" s="69"/>
      <c r="AA151" s="17"/>
      <c r="AB151" s="17"/>
      <c r="AC151" s="17"/>
      <c r="AD151" s="47"/>
      <c r="AE151" s="17"/>
      <c r="AF151" s="69"/>
      <c r="AG151" s="17"/>
      <c r="AH151" s="17"/>
      <c r="AI151" s="17"/>
      <c r="AJ151" s="47"/>
      <c r="AK151" s="17"/>
      <c r="AL151" s="69"/>
      <c r="AM151" s="17"/>
      <c r="AN151" s="17"/>
      <c r="AO151" s="17"/>
      <c r="AP151" s="47"/>
      <c r="AQ151" s="17"/>
      <c r="AR151" s="69"/>
      <c r="AS151" s="17"/>
      <c r="AT151" s="17"/>
      <c r="AU151" s="17"/>
      <c r="AV151" s="47"/>
      <c r="AW151" s="17"/>
      <c r="AX151" s="69"/>
      <c r="AY151" s="17"/>
      <c r="AZ151" s="17"/>
      <c r="BA151" s="17"/>
      <c r="BB151" s="47"/>
      <c r="BC151" s="17"/>
      <c r="BD151" s="69"/>
      <c r="BE151" s="17"/>
      <c r="BF151" s="17"/>
      <c r="BG151" s="17"/>
      <c r="BH151" s="47"/>
      <c r="BI151" s="17"/>
      <c r="BJ151" s="69"/>
      <c r="BK151" s="17"/>
      <c r="BL151" s="17"/>
      <c r="BM151" s="17"/>
      <c r="BN151" s="47"/>
      <c r="BO151" s="17"/>
      <c r="BP151" s="69"/>
      <c r="BQ151" s="17"/>
      <c r="BR151" s="17"/>
      <c r="BS151" s="17"/>
      <c r="BT151" s="47"/>
      <c r="BU151" s="17"/>
      <c r="BV151" s="69"/>
      <c r="BW151" s="17"/>
      <c r="BX151" s="17"/>
      <c r="BY151" s="17"/>
      <c r="BZ151" s="47"/>
      <c r="CA151" s="17"/>
      <c r="CB151" s="69"/>
      <c r="CC151" s="17"/>
      <c r="CD151" s="17"/>
      <c r="CE151" s="17"/>
      <c r="CF151" s="47"/>
      <c r="CG151" s="17"/>
      <c r="CH151" s="69"/>
      <c r="CI151" s="17"/>
      <c r="CJ151" s="17"/>
      <c r="CK151" s="17"/>
      <c r="CL151" s="47"/>
      <c r="CM151" s="17"/>
      <c r="CN151" s="69"/>
      <c r="CO151" s="17"/>
      <c r="CP151" s="17"/>
      <c r="CQ151" s="17"/>
      <c r="CR151" s="47"/>
      <c r="CS151" s="17"/>
      <c r="CT151" s="69"/>
      <c r="CU151" s="17"/>
      <c r="CV151" s="17"/>
      <c r="CW151" s="17"/>
      <c r="CX151" s="47"/>
      <c r="CY151" s="17"/>
      <c r="CZ151" s="69"/>
      <c r="DA151" s="17"/>
      <c r="DB151" s="17"/>
      <c r="DC151" s="17"/>
      <c r="DD151" s="47"/>
      <c r="DE151" s="17"/>
      <c r="DF151" s="69"/>
      <c r="DG151" s="17"/>
      <c r="DH151" s="17"/>
      <c r="DI151" s="17"/>
      <c r="DJ151" s="47"/>
      <c r="DK151" s="17"/>
      <c r="DL151" s="69"/>
      <c r="DM151" s="17"/>
      <c r="DN151" s="17"/>
      <c r="DO151" s="17"/>
      <c r="DP151" s="47"/>
      <c r="DQ151" s="17"/>
      <c r="DR151" s="69"/>
      <c r="DS151" s="17"/>
      <c r="DT151" s="17"/>
      <c r="DU151" s="17"/>
      <c r="DV151" s="47"/>
      <c r="DW151" s="17"/>
      <c r="DX151" s="69"/>
      <c r="DY151" s="17"/>
      <c r="DZ151" s="17"/>
      <c r="EA151" s="17"/>
      <c r="EB151" s="47"/>
      <c r="EC151" s="17"/>
      <c r="ED151" s="69"/>
      <c r="EE151" s="17"/>
      <c r="EF151" s="17"/>
      <c r="EG151" s="17"/>
      <c r="EH151" s="47"/>
      <c r="EI151" s="17"/>
      <c r="EJ151" s="69"/>
      <c r="EK151" s="17"/>
      <c r="EL151" s="17"/>
      <c r="EM151" s="17"/>
      <c r="EN151" s="47"/>
      <c r="EO151" s="17"/>
      <c r="EP151" s="69"/>
      <c r="EQ151" s="17"/>
      <c r="ER151" s="17"/>
      <c r="ES151" s="17"/>
      <c r="ET151" s="47"/>
      <c r="EU151" s="17"/>
      <c r="EV151" s="69"/>
      <c r="EW151" s="17"/>
      <c r="EX151" s="17"/>
      <c r="EY151" s="17"/>
      <c r="EZ151" s="47"/>
      <c r="FA151" s="17"/>
      <c r="FB151" s="69"/>
      <c r="FC151" s="17"/>
      <c r="FD151" s="17"/>
      <c r="FE151" s="17"/>
      <c r="FF151" s="47"/>
      <c r="FG151" s="17"/>
      <c r="FH151" s="69"/>
      <c r="FI151" s="17"/>
      <c r="FJ151" s="17"/>
      <c r="FK151" s="17"/>
      <c r="FL151" s="47"/>
      <c r="FM151" s="17"/>
      <c r="FN151" s="69"/>
      <c r="FO151" s="17"/>
      <c r="FP151" s="17"/>
      <c r="FQ151" s="17"/>
      <c r="FR151" s="47"/>
      <c r="FS151" s="17"/>
      <c r="FT151" s="69"/>
      <c r="FU151" s="17"/>
      <c r="FV151" s="17"/>
      <c r="FW151" s="17"/>
      <c r="FX151" s="47"/>
      <c r="FY151" s="17"/>
      <c r="FZ151" s="69"/>
      <c r="GA151" s="17"/>
      <c r="GB151" s="17"/>
      <c r="GC151" s="17"/>
      <c r="GD151" s="47"/>
      <c r="GE151" s="17"/>
      <c r="GF151" s="69"/>
      <c r="GG151" s="17"/>
      <c r="GH151" s="17"/>
      <c r="GI151" s="17"/>
      <c r="GJ151" s="47"/>
      <c r="GK151" s="17"/>
      <c r="GL151" s="69"/>
      <c r="GM151" s="17"/>
      <c r="GN151" s="17"/>
      <c r="GO151" s="17"/>
      <c r="GP151" s="47"/>
      <c r="GQ151" s="17"/>
      <c r="GR151" s="69"/>
      <c r="GS151" s="17"/>
      <c r="GT151" s="17"/>
      <c r="GU151" s="17"/>
      <c r="GV151" s="47"/>
      <c r="GW151" s="17"/>
      <c r="GX151" s="69"/>
      <c r="GY151" s="17"/>
      <c r="GZ151" s="17"/>
      <c r="HA151" s="17"/>
      <c r="HB151" s="47"/>
      <c r="HC151" s="17"/>
      <c r="HD151" s="69"/>
      <c r="HE151" s="17"/>
      <c r="HF151" s="17"/>
      <c r="HG151" s="17"/>
      <c r="HH151" s="47"/>
      <c r="HI151" s="17"/>
      <c r="HJ151" s="69"/>
      <c r="HK151" s="17"/>
      <c r="HL151" s="17"/>
      <c r="HM151" s="17"/>
      <c r="HN151" s="47"/>
      <c r="HO151" s="17"/>
      <c r="HP151" s="69"/>
      <c r="HQ151" s="17"/>
      <c r="HR151" s="17"/>
      <c r="HS151" s="17"/>
      <c r="HT151" s="47"/>
      <c r="HU151" s="17"/>
      <c r="HV151" s="69"/>
      <c r="HW151" s="17"/>
      <c r="HX151" s="17"/>
      <c r="HY151" s="17"/>
      <c r="HZ151" s="47"/>
      <c r="IA151" s="17"/>
      <c r="IB151" s="69"/>
      <c r="IC151" s="17"/>
      <c r="ID151" s="17"/>
      <c r="IE151" s="17"/>
      <c r="IF151" s="47"/>
      <c r="IG151" s="17"/>
      <c r="IH151" s="69"/>
      <c r="II151" s="17"/>
      <c r="IJ151" s="17"/>
      <c r="IK151" s="17"/>
      <c r="IL151" s="47"/>
      <c r="IM151" s="17"/>
      <c r="IN151" s="69"/>
      <c r="IO151" s="17"/>
      <c r="IP151" s="17"/>
      <c r="IQ151" s="17"/>
      <c r="IR151" s="47"/>
      <c r="IS151" s="17"/>
      <c r="IT151" s="69"/>
      <c r="IU151" s="17"/>
      <c r="IV151" s="17"/>
      <c r="IW151" s="17"/>
      <c r="IX151" s="47"/>
      <c r="IY151" s="17"/>
      <c r="IZ151" s="69"/>
      <c r="JA151" s="17"/>
      <c r="JB151" s="17"/>
      <c r="JC151" s="17"/>
      <c r="JD151" s="47"/>
      <c r="JE151" s="17"/>
      <c r="JF151" s="69"/>
      <c r="JG151" s="17"/>
      <c r="JH151" s="17"/>
      <c r="JI151" s="17"/>
      <c r="JJ151" s="47"/>
    </row>
    <row r="152" spans="1:270" ht="15.75" customHeight="1">
      <c r="A152" s="109" t="s">
        <v>225</v>
      </c>
      <c r="B152" s="107"/>
      <c r="C152" s="107"/>
      <c r="D152" s="107"/>
      <c r="E152" s="107"/>
      <c r="F152" s="107"/>
      <c r="G152" s="107"/>
      <c r="H152" s="108"/>
      <c r="I152" s="17"/>
      <c r="J152" s="17"/>
      <c r="K152" s="17"/>
      <c r="L152" s="17"/>
      <c r="M152" s="47"/>
      <c r="N152" s="69"/>
      <c r="O152" s="17"/>
      <c r="P152" s="17"/>
      <c r="Q152" s="17"/>
      <c r="R152" s="47"/>
      <c r="S152" s="17"/>
      <c r="T152" s="69"/>
      <c r="U152" s="17"/>
      <c r="V152" s="17"/>
      <c r="W152" s="17"/>
      <c r="X152" s="47"/>
      <c r="Y152" s="17"/>
      <c r="Z152" s="69"/>
      <c r="AA152" s="17"/>
      <c r="AB152" s="17"/>
      <c r="AC152" s="17"/>
      <c r="AD152" s="47"/>
      <c r="AE152" s="17"/>
      <c r="AF152" s="69"/>
      <c r="AG152" s="17"/>
      <c r="AH152" s="17"/>
      <c r="AI152" s="17"/>
      <c r="AJ152" s="47"/>
      <c r="AK152" s="17"/>
      <c r="AL152" s="69"/>
      <c r="AM152" s="17"/>
      <c r="AN152" s="17"/>
      <c r="AO152" s="17"/>
      <c r="AP152" s="47"/>
      <c r="AQ152" s="17"/>
      <c r="AR152" s="69"/>
      <c r="AS152" s="17"/>
      <c r="AT152" s="17"/>
      <c r="AU152" s="17"/>
      <c r="AV152" s="47"/>
      <c r="AW152" s="17"/>
      <c r="AX152" s="69"/>
      <c r="AY152" s="17"/>
      <c r="AZ152" s="17"/>
      <c r="BA152" s="17"/>
      <c r="BB152" s="47"/>
      <c r="BC152" s="17"/>
      <c r="BD152" s="69"/>
      <c r="BE152" s="17"/>
      <c r="BF152" s="17"/>
      <c r="BG152" s="17"/>
      <c r="BH152" s="47"/>
      <c r="BI152" s="17"/>
      <c r="BJ152" s="69"/>
      <c r="BK152" s="17"/>
      <c r="BL152" s="17"/>
      <c r="BM152" s="17"/>
      <c r="BN152" s="47"/>
      <c r="BO152" s="17"/>
      <c r="BP152" s="69"/>
      <c r="BQ152" s="17"/>
      <c r="BR152" s="17"/>
      <c r="BS152" s="17"/>
      <c r="BT152" s="47"/>
      <c r="BU152" s="17"/>
      <c r="BV152" s="69"/>
      <c r="BW152" s="17"/>
      <c r="BX152" s="17"/>
      <c r="BY152" s="17"/>
      <c r="BZ152" s="47"/>
      <c r="CA152" s="17"/>
      <c r="CB152" s="69"/>
      <c r="CC152" s="17"/>
      <c r="CD152" s="17"/>
      <c r="CE152" s="17"/>
      <c r="CF152" s="47"/>
      <c r="CG152" s="17"/>
      <c r="CH152" s="69"/>
      <c r="CI152" s="17"/>
      <c r="CJ152" s="17"/>
      <c r="CK152" s="17"/>
      <c r="CL152" s="47"/>
      <c r="CM152" s="17"/>
      <c r="CN152" s="69"/>
      <c r="CO152" s="17"/>
      <c r="CP152" s="17"/>
      <c r="CQ152" s="17"/>
      <c r="CR152" s="47"/>
      <c r="CS152" s="17"/>
      <c r="CT152" s="69"/>
      <c r="CU152" s="17"/>
      <c r="CV152" s="17"/>
      <c r="CW152" s="17"/>
      <c r="CX152" s="47"/>
      <c r="CY152" s="17"/>
      <c r="CZ152" s="69"/>
      <c r="DA152" s="17"/>
      <c r="DB152" s="17"/>
      <c r="DC152" s="17"/>
      <c r="DD152" s="47"/>
      <c r="DE152" s="17"/>
      <c r="DF152" s="69"/>
      <c r="DG152" s="17"/>
      <c r="DH152" s="17"/>
      <c r="DI152" s="17"/>
      <c r="DJ152" s="47"/>
      <c r="DK152" s="17"/>
      <c r="DL152" s="69"/>
      <c r="DM152" s="17"/>
      <c r="DN152" s="17"/>
      <c r="DO152" s="17"/>
      <c r="DP152" s="47"/>
      <c r="DQ152" s="17"/>
      <c r="DR152" s="69"/>
      <c r="DS152" s="17"/>
      <c r="DT152" s="17"/>
      <c r="DU152" s="17"/>
      <c r="DV152" s="47"/>
      <c r="DW152" s="17"/>
      <c r="DX152" s="69"/>
      <c r="DY152" s="17"/>
      <c r="DZ152" s="17"/>
      <c r="EA152" s="17"/>
      <c r="EB152" s="47"/>
      <c r="EC152" s="17"/>
      <c r="ED152" s="69"/>
      <c r="EE152" s="17"/>
      <c r="EF152" s="17"/>
      <c r="EG152" s="17"/>
      <c r="EH152" s="47"/>
      <c r="EI152" s="17"/>
      <c r="EJ152" s="69"/>
      <c r="EK152" s="17"/>
      <c r="EL152" s="17"/>
      <c r="EM152" s="17"/>
      <c r="EN152" s="47"/>
      <c r="EO152" s="17"/>
      <c r="EP152" s="69"/>
      <c r="EQ152" s="17"/>
      <c r="ER152" s="17"/>
      <c r="ES152" s="17"/>
      <c r="ET152" s="47"/>
      <c r="EU152" s="17"/>
      <c r="EV152" s="69"/>
      <c r="EW152" s="17"/>
      <c r="EX152" s="17"/>
      <c r="EY152" s="17"/>
      <c r="EZ152" s="47"/>
      <c r="FA152" s="17"/>
      <c r="FB152" s="69"/>
      <c r="FC152" s="17"/>
      <c r="FD152" s="17"/>
      <c r="FE152" s="17"/>
      <c r="FF152" s="47"/>
      <c r="FG152" s="17"/>
      <c r="FH152" s="69"/>
      <c r="FI152" s="17"/>
      <c r="FJ152" s="17"/>
      <c r="FK152" s="17"/>
      <c r="FL152" s="47"/>
      <c r="FM152" s="17"/>
      <c r="FN152" s="69"/>
      <c r="FO152" s="17"/>
      <c r="FP152" s="17"/>
      <c r="FQ152" s="17"/>
      <c r="FR152" s="47"/>
      <c r="FS152" s="17"/>
      <c r="FT152" s="69"/>
      <c r="FU152" s="17"/>
      <c r="FV152" s="17"/>
      <c r="FW152" s="17"/>
      <c r="FX152" s="47"/>
      <c r="FY152" s="17"/>
      <c r="FZ152" s="69"/>
      <c r="GA152" s="17"/>
      <c r="GB152" s="17"/>
      <c r="GC152" s="17"/>
      <c r="GD152" s="47"/>
      <c r="GE152" s="17"/>
      <c r="GF152" s="69"/>
      <c r="GG152" s="17"/>
      <c r="GH152" s="17"/>
      <c r="GI152" s="17"/>
      <c r="GJ152" s="47"/>
      <c r="GK152" s="17"/>
      <c r="GL152" s="69"/>
      <c r="GM152" s="17"/>
      <c r="GN152" s="17"/>
      <c r="GO152" s="17"/>
      <c r="GP152" s="47"/>
      <c r="GQ152" s="17"/>
      <c r="GR152" s="69"/>
      <c r="GS152" s="17"/>
      <c r="GT152" s="17"/>
      <c r="GU152" s="17"/>
      <c r="GV152" s="47"/>
      <c r="GW152" s="17"/>
      <c r="GX152" s="69"/>
      <c r="GY152" s="17"/>
      <c r="GZ152" s="17"/>
      <c r="HA152" s="17"/>
      <c r="HB152" s="47"/>
      <c r="HC152" s="17"/>
      <c r="HD152" s="69"/>
      <c r="HE152" s="17"/>
      <c r="HF152" s="17"/>
      <c r="HG152" s="17"/>
      <c r="HH152" s="47"/>
      <c r="HI152" s="17"/>
      <c r="HJ152" s="69"/>
      <c r="HK152" s="17"/>
      <c r="HL152" s="17"/>
      <c r="HM152" s="17"/>
      <c r="HN152" s="47"/>
      <c r="HO152" s="17"/>
      <c r="HP152" s="69"/>
      <c r="HQ152" s="17"/>
      <c r="HR152" s="17"/>
      <c r="HS152" s="17"/>
      <c r="HT152" s="47"/>
      <c r="HU152" s="17"/>
      <c r="HV152" s="69"/>
      <c r="HW152" s="17"/>
      <c r="HX152" s="17"/>
      <c r="HY152" s="17"/>
      <c r="HZ152" s="47"/>
      <c r="IA152" s="17"/>
      <c r="IB152" s="69"/>
      <c r="IC152" s="17"/>
      <c r="ID152" s="17"/>
      <c r="IE152" s="17"/>
      <c r="IF152" s="47"/>
      <c r="IG152" s="17"/>
      <c r="IH152" s="69"/>
      <c r="II152" s="17"/>
      <c r="IJ152" s="17"/>
      <c r="IK152" s="17"/>
      <c r="IL152" s="47"/>
      <c r="IM152" s="17"/>
      <c r="IN152" s="69"/>
      <c r="IO152" s="17"/>
      <c r="IP152" s="17"/>
      <c r="IQ152" s="17"/>
      <c r="IR152" s="47"/>
      <c r="IS152" s="17"/>
      <c r="IT152" s="69"/>
      <c r="IU152" s="17"/>
      <c r="IV152" s="17"/>
      <c r="IW152" s="17"/>
      <c r="IX152" s="47"/>
      <c r="IY152" s="17"/>
      <c r="IZ152" s="69"/>
      <c r="JA152" s="17"/>
      <c r="JB152" s="17"/>
      <c r="JC152" s="17"/>
      <c r="JD152" s="47"/>
      <c r="JE152" s="17"/>
      <c r="JF152" s="69"/>
      <c r="JG152" s="17"/>
      <c r="JH152" s="17"/>
      <c r="JI152" s="17"/>
      <c r="JJ152" s="47"/>
    </row>
    <row r="153" spans="1:270" ht="29.25" customHeight="1">
      <c r="A153" s="28" t="s">
        <v>6</v>
      </c>
      <c r="B153" s="28" t="s">
        <v>7</v>
      </c>
      <c r="C153" s="28" t="s">
        <v>8</v>
      </c>
      <c r="D153" s="28" t="s">
        <v>9</v>
      </c>
      <c r="E153" s="28" t="s">
        <v>10</v>
      </c>
      <c r="F153" s="28" t="s">
        <v>11</v>
      </c>
      <c r="G153" s="28" t="s">
        <v>12</v>
      </c>
      <c r="H153" s="28" t="s">
        <v>13</v>
      </c>
      <c r="I153" s="8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</row>
    <row r="154" spans="1:270" ht="15.75" customHeight="1">
      <c r="A154" s="8">
        <v>1</v>
      </c>
      <c r="B154" s="19" t="s">
        <v>226</v>
      </c>
      <c r="C154" s="20" t="s">
        <v>227</v>
      </c>
      <c r="D154" s="147" t="s">
        <v>16</v>
      </c>
      <c r="E154" s="147"/>
      <c r="F154" s="128">
        <v>3</v>
      </c>
      <c r="G154" s="68" t="s">
        <v>109</v>
      </c>
      <c r="H154" s="29"/>
      <c r="I154" s="98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/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44"/>
      <c r="FJ154" s="44"/>
      <c r="FK154" s="44"/>
      <c r="FL154" s="44"/>
      <c r="FM154" s="44"/>
      <c r="FN154" s="44"/>
      <c r="FO154" s="44"/>
      <c r="FP154" s="44"/>
      <c r="FQ154" s="44"/>
      <c r="FR154" s="44"/>
      <c r="FS154" s="44"/>
      <c r="FT154" s="44"/>
      <c r="FU154" s="44"/>
      <c r="FV154" s="44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44"/>
      <c r="GI154" s="44"/>
      <c r="GJ154" s="44"/>
      <c r="GK154" s="44"/>
      <c r="GL154" s="44"/>
      <c r="GM154" s="44"/>
      <c r="GN154" s="44"/>
      <c r="GO154" s="44"/>
      <c r="GP154" s="44"/>
      <c r="GQ154" s="44"/>
      <c r="GR154" s="44"/>
      <c r="GS154" s="44"/>
      <c r="GT154" s="44"/>
      <c r="GU154" s="44"/>
      <c r="GV154" s="44"/>
      <c r="GW154" s="44"/>
      <c r="GX154" s="44"/>
      <c r="GY154" s="44"/>
      <c r="GZ154" s="44"/>
      <c r="HA154" s="44"/>
      <c r="HB154" s="44"/>
      <c r="HC154" s="44"/>
      <c r="HD154" s="44"/>
      <c r="HE154" s="44"/>
      <c r="HF154" s="44"/>
      <c r="HG154" s="44"/>
      <c r="HH154" s="44"/>
      <c r="HI154" s="44"/>
      <c r="HJ154" s="44"/>
      <c r="HK154" s="44"/>
      <c r="HL154" s="44"/>
      <c r="HM154" s="44"/>
      <c r="HN154" s="44"/>
      <c r="HO154" s="44"/>
      <c r="HP154" s="44"/>
      <c r="HQ154" s="44"/>
      <c r="HR154" s="44"/>
      <c r="HS154" s="44"/>
      <c r="HT154" s="44"/>
      <c r="HU154" s="44"/>
      <c r="HV154" s="44"/>
      <c r="HW154" s="44"/>
      <c r="HX154" s="44"/>
      <c r="HY154" s="44"/>
      <c r="HZ154" s="44"/>
      <c r="IA154" s="44"/>
      <c r="IB154" s="44"/>
      <c r="IC154" s="44"/>
      <c r="ID154" s="44"/>
      <c r="IE154" s="44"/>
      <c r="IF154" s="44"/>
      <c r="IG154" s="44"/>
      <c r="IH154" s="44"/>
      <c r="II154" s="44"/>
      <c r="IJ154" s="44"/>
      <c r="IK154" s="44"/>
      <c r="IL154" s="44"/>
      <c r="IM154" s="44"/>
      <c r="IN154" s="44"/>
      <c r="IO154" s="44"/>
      <c r="IP154" s="44"/>
      <c r="IQ154" s="44"/>
      <c r="IR154" s="44"/>
      <c r="IS154" s="44"/>
      <c r="IT154" s="44"/>
      <c r="IU154" s="44"/>
      <c r="IV154" s="44"/>
      <c r="IW154" s="44"/>
      <c r="IX154" s="44"/>
      <c r="IY154" s="44"/>
      <c r="IZ154" s="44"/>
      <c r="JA154" s="44"/>
      <c r="JB154" s="44"/>
      <c r="JC154" s="44"/>
      <c r="JD154" s="44"/>
      <c r="JE154" s="44"/>
      <c r="JF154" s="44"/>
      <c r="JG154" s="44"/>
      <c r="JH154" s="44"/>
      <c r="JI154" s="44"/>
      <c r="JJ154" s="44"/>
    </row>
    <row r="155" spans="1:270" ht="15.75" customHeight="1">
      <c r="A155" s="8">
        <v>2</v>
      </c>
      <c r="B155" s="19" t="s">
        <v>232</v>
      </c>
      <c r="C155" s="20" t="s">
        <v>233</v>
      </c>
      <c r="D155" s="19" t="s">
        <v>16</v>
      </c>
      <c r="E155" s="19"/>
      <c r="F155" s="129"/>
      <c r="G155" s="68"/>
      <c r="H155" s="29"/>
      <c r="I155" s="98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  <c r="BT155" s="44"/>
      <c r="BU155" s="44"/>
      <c r="BV155" s="44"/>
      <c r="BW155" s="44"/>
      <c r="BX155" s="44"/>
      <c r="BY155" s="44"/>
      <c r="BZ155" s="44"/>
      <c r="CA155" s="44"/>
      <c r="CB155" s="44"/>
      <c r="CC155" s="44"/>
      <c r="CD155" s="44"/>
      <c r="CE155" s="44"/>
      <c r="CF155" s="44"/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/>
      <c r="DJ155" s="44"/>
      <c r="DK155" s="44"/>
      <c r="DL155" s="44"/>
      <c r="DM155" s="44"/>
      <c r="DN155" s="44"/>
      <c r="DO155" s="44"/>
      <c r="DP155" s="44"/>
      <c r="DQ155" s="44"/>
      <c r="DR155" s="44"/>
      <c r="DS155" s="44"/>
      <c r="DT155" s="44"/>
      <c r="DU155" s="44"/>
      <c r="DV155" s="44"/>
      <c r="DW155" s="44"/>
      <c r="DX155" s="44"/>
      <c r="DY155" s="44"/>
      <c r="DZ155" s="44"/>
      <c r="EA155" s="44"/>
      <c r="EB155" s="44"/>
      <c r="EC155" s="44"/>
      <c r="ED155" s="44"/>
      <c r="EE155" s="44"/>
      <c r="EF155" s="44"/>
      <c r="EG155" s="44"/>
      <c r="EH155" s="44"/>
      <c r="EI155" s="44"/>
      <c r="EJ155" s="44"/>
      <c r="EK155" s="44"/>
      <c r="EL155" s="44"/>
      <c r="EM155" s="44"/>
      <c r="EN155" s="44"/>
      <c r="EO155" s="44"/>
      <c r="EP155" s="44"/>
      <c r="EQ155" s="44"/>
      <c r="ER155" s="44"/>
      <c r="ES155" s="44"/>
      <c r="ET155" s="44"/>
      <c r="EU155" s="44"/>
      <c r="EV155" s="44"/>
      <c r="EW155" s="44"/>
      <c r="EX155" s="44"/>
      <c r="EY155" s="44"/>
      <c r="EZ155" s="44"/>
      <c r="FA155" s="44"/>
      <c r="FB155" s="44"/>
      <c r="FC155" s="44"/>
      <c r="FD155" s="44"/>
      <c r="FE155" s="44"/>
      <c r="FF155" s="44"/>
      <c r="FG155" s="44"/>
      <c r="FH155" s="44"/>
      <c r="FI155" s="44"/>
      <c r="FJ155" s="44"/>
      <c r="FK155" s="44"/>
      <c r="FL155" s="44"/>
      <c r="FM155" s="44"/>
      <c r="FN155" s="44"/>
      <c r="FO155" s="44"/>
      <c r="FP155" s="44"/>
      <c r="FQ155" s="44"/>
      <c r="FR155" s="44"/>
      <c r="FS155" s="44"/>
      <c r="FT155" s="44"/>
      <c r="FU155" s="44"/>
      <c r="FV155" s="44"/>
      <c r="FW155" s="44"/>
      <c r="FX155" s="44"/>
      <c r="FY155" s="44"/>
      <c r="FZ155" s="44"/>
      <c r="GA155" s="44"/>
      <c r="GB155" s="44"/>
      <c r="GC155" s="44"/>
      <c r="GD155" s="44"/>
      <c r="GE155" s="44"/>
      <c r="GF155" s="44"/>
      <c r="GG155" s="44"/>
      <c r="GH155" s="44"/>
      <c r="GI155" s="44"/>
      <c r="GJ155" s="44"/>
      <c r="GK155" s="44"/>
      <c r="GL155" s="44"/>
      <c r="GM155" s="44"/>
      <c r="GN155" s="44"/>
      <c r="GO155" s="44"/>
      <c r="GP155" s="44"/>
      <c r="GQ155" s="44"/>
      <c r="GR155" s="44"/>
      <c r="GS155" s="44"/>
      <c r="GT155" s="44"/>
      <c r="GU155" s="44"/>
      <c r="GV155" s="44"/>
      <c r="GW155" s="44"/>
      <c r="GX155" s="44"/>
      <c r="GY155" s="44"/>
      <c r="GZ155" s="44"/>
      <c r="HA155" s="44"/>
      <c r="HB155" s="44"/>
      <c r="HC155" s="44"/>
      <c r="HD155" s="44"/>
      <c r="HE155" s="44"/>
      <c r="HF155" s="44"/>
      <c r="HG155" s="44"/>
      <c r="HH155" s="44"/>
      <c r="HI155" s="44"/>
      <c r="HJ155" s="44"/>
      <c r="HK155" s="44"/>
      <c r="HL155" s="44"/>
      <c r="HM155" s="44"/>
      <c r="HN155" s="44"/>
      <c r="HO155" s="44"/>
      <c r="HP155" s="44"/>
      <c r="HQ155" s="44"/>
      <c r="HR155" s="44"/>
      <c r="HS155" s="44"/>
      <c r="HT155" s="44"/>
      <c r="HU155" s="44"/>
      <c r="HV155" s="44"/>
      <c r="HW155" s="44"/>
      <c r="HX155" s="44"/>
      <c r="HY155" s="44"/>
      <c r="HZ155" s="44"/>
      <c r="IA155" s="44"/>
      <c r="IB155" s="44"/>
      <c r="IC155" s="44"/>
      <c r="ID155" s="44"/>
      <c r="IE155" s="44"/>
      <c r="IF155" s="44"/>
      <c r="IG155" s="44"/>
      <c r="IH155" s="44"/>
      <c r="II155" s="44"/>
      <c r="IJ155" s="44"/>
      <c r="IK155" s="44"/>
      <c r="IL155" s="44"/>
      <c r="IM155" s="44"/>
      <c r="IN155" s="44"/>
      <c r="IO155" s="44"/>
      <c r="IP155" s="44"/>
      <c r="IQ155" s="44"/>
      <c r="IR155" s="44"/>
      <c r="IS155" s="44"/>
      <c r="IT155" s="44"/>
      <c r="IU155" s="44"/>
      <c r="IV155" s="44"/>
      <c r="IW155" s="44"/>
      <c r="IX155" s="44"/>
      <c r="IY155" s="44"/>
      <c r="IZ155" s="44"/>
      <c r="JA155" s="44"/>
      <c r="JB155" s="44"/>
      <c r="JC155" s="44"/>
      <c r="JD155" s="44"/>
      <c r="JE155" s="44"/>
      <c r="JF155" s="44"/>
      <c r="JG155" s="44"/>
      <c r="JH155" s="44"/>
      <c r="JI155" s="44"/>
      <c r="JJ155" s="44"/>
    </row>
    <row r="156" spans="1:270" ht="15.75" customHeight="1">
      <c r="A156" s="8">
        <v>3</v>
      </c>
      <c r="B156" s="147" t="s">
        <v>245</v>
      </c>
      <c r="C156" s="148" t="s">
        <v>244</v>
      </c>
      <c r="D156" s="19" t="s">
        <v>16</v>
      </c>
      <c r="E156" s="19"/>
      <c r="F156" s="19">
        <v>3</v>
      </c>
      <c r="G156" s="68"/>
      <c r="H156" s="29"/>
      <c r="I156" s="98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/>
      <c r="CK156" s="44"/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/>
      <c r="DJ156" s="44"/>
      <c r="DK156" s="44"/>
      <c r="DL156" s="44"/>
      <c r="DM156" s="44"/>
      <c r="DN156" s="44"/>
      <c r="DO156" s="44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  <c r="EQ156" s="44"/>
      <c r="ER156" s="44"/>
      <c r="ES156" s="44"/>
      <c r="ET156" s="44"/>
      <c r="EU156" s="44"/>
      <c r="EV156" s="44"/>
      <c r="EW156" s="44"/>
      <c r="EX156" s="44"/>
      <c r="EY156" s="44"/>
      <c r="EZ156" s="44"/>
      <c r="FA156" s="44"/>
      <c r="FB156" s="44"/>
      <c r="FC156" s="44"/>
      <c r="FD156" s="44"/>
      <c r="FE156" s="44"/>
      <c r="FF156" s="44"/>
      <c r="FG156" s="44"/>
      <c r="FH156" s="44"/>
      <c r="FI156" s="44"/>
      <c r="FJ156" s="44"/>
      <c r="FK156" s="44"/>
      <c r="FL156" s="44"/>
      <c r="FM156" s="44"/>
      <c r="FN156" s="44"/>
      <c r="FO156" s="44"/>
      <c r="FP156" s="44"/>
      <c r="FQ156" s="44"/>
      <c r="FR156" s="44"/>
      <c r="FS156" s="44"/>
      <c r="FT156" s="44"/>
      <c r="FU156" s="44"/>
      <c r="FV156" s="44"/>
      <c r="FW156" s="44"/>
      <c r="FX156" s="44"/>
      <c r="FY156" s="44"/>
      <c r="FZ156" s="44"/>
      <c r="GA156" s="44"/>
      <c r="GB156" s="44"/>
      <c r="GC156" s="44"/>
      <c r="GD156" s="44"/>
      <c r="GE156" s="44"/>
      <c r="GF156" s="44"/>
      <c r="GG156" s="44"/>
      <c r="GH156" s="44"/>
      <c r="GI156" s="44"/>
      <c r="GJ156" s="44"/>
      <c r="GK156" s="44"/>
      <c r="GL156" s="44"/>
      <c r="GM156" s="44"/>
      <c r="GN156" s="44"/>
      <c r="GO156" s="44"/>
      <c r="GP156" s="44"/>
      <c r="GQ156" s="44"/>
      <c r="GR156" s="44"/>
      <c r="GS156" s="44"/>
      <c r="GT156" s="44"/>
      <c r="GU156" s="44"/>
      <c r="GV156" s="44"/>
      <c r="GW156" s="44"/>
      <c r="GX156" s="44"/>
      <c r="GY156" s="44"/>
      <c r="GZ156" s="44"/>
      <c r="HA156" s="44"/>
      <c r="HB156" s="44"/>
      <c r="HC156" s="44"/>
      <c r="HD156" s="44"/>
      <c r="HE156" s="44"/>
      <c r="HF156" s="44"/>
      <c r="HG156" s="44"/>
      <c r="HH156" s="44"/>
      <c r="HI156" s="44"/>
      <c r="HJ156" s="44"/>
      <c r="HK156" s="44"/>
      <c r="HL156" s="44"/>
      <c r="HM156" s="44"/>
      <c r="HN156" s="44"/>
      <c r="HO156" s="44"/>
      <c r="HP156" s="44"/>
      <c r="HQ156" s="44"/>
      <c r="HR156" s="44"/>
      <c r="HS156" s="44"/>
      <c r="HT156" s="44"/>
      <c r="HU156" s="44"/>
      <c r="HV156" s="44"/>
      <c r="HW156" s="44"/>
      <c r="HX156" s="44"/>
      <c r="HY156" s="44"/>
      <c r="HZ156" s="44"/>
      <c r="IA156" s="44"/>
      <c r="IB156" s="44"/>
      <c r="IC156" s="44"/>
      <c r="ID156" s="44"/>
      <c r="IE156" s="44"/>
      <c r="IF156" s="44"/>
      <c r="IG156" s="44"/>
      <c r="IH156" s="44"/>
      <c r="II156" s="44"/>
      <c r="IJ156" s="44"/>
      <c r="IK156" s="44"/>
      <c r="IL156" s="44"/>
      <c r="IM156" s="44"/>
      <c r="IN156" s="44"/>
      <c r="IO156" s="44"/>
      <c r="IP156" s="44"/>
      <c r="IQ156" s="44"/>
      <c r="IR156" s="44"/>
      <c r="IS156" s="44"/>
      <c r="IT156" s="44"/>
      <c r="IU156" s="44"/>
      <c r="IV156" s="44"/>
      <c r="IW156" s="44"/>
      <c r="IX156" s="44"/>
      <c r="IY156" s="44"/>
      <c r="IZ156" s="44"/>
      <c r="JA156" s="44"/>
      <c r="JB156" s="44"/>
      <c r="JC156" s="44"/>
      <c r="JD156" s="44"/>
      <c r="JE156" s="44"/>
      <c r="JF156" s="44"/>
      <c r="JG156" s="44"/>
      <c r="JH156" s="44"/>
      <c r="JI156" s="44"/>
      <c r="JJ156" s="44"/>
    </row>
    <row r="157" spans="1:270" ht="15.75" customHeight="1">
      <c r="A157" s="8">
        <v>4</v>
      </c>
      <c r="B157" s="102" t="s">
        <v>228</v>
      </c>
      <c r="C157" s="80" t="s">
        <v>229</v>
      </c>
      <c r="D157" s="29" t="s">
        <v>16</v>
      </c>
      <c r="E157" s="8">
        <f>VALUE(LEFT(D157,1))</f>
        <v>3</v>
      </c>
      <c r="F157" s="8"/>
      <c r="G157" s="68" t="s">
        <v>109</v>
      </c>
      <c r="H157" s="8"/>
      <c r="I157" s="99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  <c r="BT157" s="44"/>
      <c r="BU157" s="44"/>
      <c r="BV157" s="44"/>
      <c r="BW157" s="44"/>
      <c r="BX157" s="44"/>
      <c r="BY157" s="44"/>
      <c r="BZ157" s="44"/>
      <c r="CA157" s="44"/>
      <c r="CB157" s="44"/>
      <c r="CC157" s="44"/>
      <c r="CD157" s="44"/>
      <c r="CE157" s="44"/>
      <c r="CF157" s="44"/>
      <c r="CG157" s="44"/>
      <c r="CH157" s="44"/>
      <c r="CI157" s="44"/>
      <c r="CJ157" s="44"/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/>
      <c r="DJ157" s="44"/>
      <c r="DK157" s="44"/>
      <c r="DL157" s="44"/>
      <c r="DM157" s="44"/>
      <c r="DN157" s="44"/>
      <c r="DO157" s="44"/>
      <c r="DP157" s="44"/>
      <c r="DQ157" s="44"/>
      <c r="DR157" s="44"/>
      <c r="DS157" s="44"/>
      <c r="DT157" s="44"/>
      <c r="DU157" s="44"/>
      <c r="DV157" s="44"/>
      <c r="DW157" s="44"/>
      <c r="DX157" s="44"/>
      <c r="DY157" s="44"/>
      <c r="DZ157" s="44"/>
      <c r="EA157" s="44"/>
      <c r="EB157" s="44"/>
      <c r="EC157" s="44"/>
      <c r="ED157" s="44"/>
      <c r="EE157" s="44"/>
      <c r="EF157" s="44"/>
      <c r="EG157" s="44"/>
      <c r="EH157" s="44"/>
      <c r="EI157" s="44"/>
      <c r="EJ157" s="44"/>
      <c r="EK157" s="44"/>
      <c r="EL157" s="44"/>
      <c r="EM157" s="44"/>
      <c r="EN157" s="44"/>
      <c r="EO157" s="44"/>
      <c r="EP157" s="44"/>
      <c r="EQ157" s="44"/>
      <c r="ER157" s="44"/>
      <c r="ES157" s="44"/>
      <c r="ET157" s="44"/>
      <c r="EU157" s="44"/>
      <c r="EV157" s="44"/>
      <c r="EW157" s="44"/>
      <c r="EX157" s="44"/>
      <c r="EY157" s="44"/>
      <c r="EZ157" s="44"/>
      <c r="FA157" s="44"/>
      <c r="FB157" s="44"/>
      <c r="FC157" s="44"/>
      <c r="FD157" s="44"/>
      <c r="FE157" s="44"/>
      <c r="FF157" s="44"/>
      <c r="FG157" s="44"/>
      <c r="FH157" s="44"/>
      <c r="FI157" s="44"/>
      <c r="FJ157" s="44"/>
      <c r="FK157" s="44"/>
      <c r="FL157" s="44"/>
      <c r="FM157" s="44"/>
      <c r="FN157" s="44"/>
      <c r="FO157" s="44"/>
      <c r="FP157" s="44"/>
      <c r="FQ157" s="44"/>
      <c r="FR157" s="44"/>
      <c r="FS157" s="44"/>
      <c r="FT157" s="44"/>
      <c r="FU157" s="44"/>
      <c r="FV157" s="44"/>
      <c r="FW157" s="44"/>
      <c r="FX157" s="44"/>
      <c r="FY157" s="44"/>
      <c r="FZ157" s="44"/>
      <c r="GA157" s="44"/>
      <c r="GB157" s="44"/>
      <c r="GC157" s="44"/>
      <c r="GD157" s="44"/>
      <c r="GE157" s="44"/>
      <c r="GF157" s="44"/>
      <c r="GG157" s="44"/>
      <c r="GH157" s="44"/>
      <c r="GI157" s="44"/>
      <c r="GJ157" s="44"/>
      <c r="GK157" s="44"/>
      <c r="GL157" s="44"/>
      <c r="GM157" s="44"/>
      <c r="GN157" s="44"/>
      <c r="GO157" s="44"/>
      <c r="GP157" s="44"/>
      <c r="GQ157" s="44"/>
      <c r="GR157" s="44"/>
      <c r="GS157" s="44"/>
      <c r="GT157" s="44"/>
      <c r="GU157" s="44"/>
      <c r="GV157" s="44"/>
      <c r="GW157" s="44"/>
      <c r="GX157" s="44"/>
      <c r="GY157" s="44"/>
      <c r="GZ157" s="44"/>
      <c r="HA157" s="44"/>
      <c r="HB157" s="44"/>
      <c r="HC157" s="44"/>
      <c r="HD157" s="44"/>
      <c r="HE157" s="44"/>
      <c r="HF157" s="44"/>
      <c r="HG157" s="44"/>
      <c r="HH157" s="44"/>
      <c r="HI157" s="44"/>
      <c r="HJ157" s="44"/>
      <c r="HK157" s="44"/>
      <c r="HL157" s="44"/>
      <c r="HM157" s="44"/>
      <c r="HN157" s="44"/>
      <c r="HO157" s="44"/>
      <c r="HP157" s="44"/>
      <c r="HQ157" s="44"/>
      <c r="HR157" s="44"/>
      <c r="HS157" s="44"/>
      <c r="HT157" s="44"/>
      <c r="HU157" s="44"/>
      <c r="HV157" s="44"/>
      <c r="HW157" s="44"/>
      <c r="HX157" s="44"/>
      <c r="HY157" s="44"/>
      <c r="HZ157" s="44"/>
      <c r="IA157" s="44"/>
      <c r="IB157" s="44"/>
      <c r="IC157" s="44"/>
      <c r="ID157" s="44"/>
      <c r="IE157" s="44"/>
      <c r="IF157" s="44"/>
      <c r="IG157" s="44"/>
      <c r="IH157" s="44"/>
      <c r="II157" s="44"/>
      <c r="IJ157" s="44"/>
      <c r="IK157" s="44"/>
      <c r="IL157" s="44"/>
      <c r="IM157" s="44"/>
      <c r="IN157" s="44"/>
      <c r="IO157" s="44"/>
      <c r="IP157" s="44"/>
      <c r="IQ157" s="44"/>
      <c r="IR157" s="44"/>
      <c r="IS157" s="44"/>
      <c r="IT157" s="44"/>
      <c r="IU157" s="44"/>
      <c r="IV157" s="44"/>
      <c r="IW157" s="44"/>
      <c r="IX157" s="44"/>
      <c r="IY157" s="44"/>
      <c r="IZ157" s="44"/>
      <c r="JA157" s="44"/>
      <c r="JB157" s="44"/>
      <c r="JC157" s="44"/>
      <c r="JD157" s="44"/>
      <c r="JE157" s="44"/>
      <c r="JF157" s="44"/>
      <c r="JG157" s="44"/>
      <c r="JH157" s="44"/>
      <c r="JI157" s="44"/>
      <c r="JJ157" s="44"/>
    </row>
    <row r="158" spans="1:270" ht="15.75" customHeight="1">
      <c r="A158" s="8">
        <v>5</v>
      </c>
      <c r="B158" s="8" t="s">
        <v>230</v>
      </c>
      <c r="C158" s="9" t="s">
        <v>231</v>
      </c>
      <c r="D158" s="29" t="s">
        <v>16</v>
      </c>
      <c r="E158" s="8">
        <v>3</v>
      </c>
      <c r="F158" s="8"/>
      <c r="G158" s="12"/>
      <c r="H158" s="8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/>
      <c r="DJ158" s="44"/>
      <c r="DK158" s="44"/>
      <c r="DL158" s="44"/>
      <c r="DM158" s="44"/>
      <c r="DN158" s="44"/>
      <c r="DO158" s="44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  <c r="EQ158" s="44"/>
      <c r="ER158" s="44"/>
      <c r="ES158" s="44"/>
      <c r="ET158" s="44"/>
      <c r="EU158" s="44"/>
      <c r="EV158" s="44"/>
      <c r="EW158" s="44"/>
      <c r="EX158" s="44"/>
      <c r="EY158" s="44"/>
      <c r="EZ158" s="44"/>
      <c r="FA158" s="44"/>
      <c r="FB158" s="44"/>
      <c r="FC158" s="44"/>
      <c r="FD158" s="44"/>
      <c r="FE158" s="44"/>
      <c r="FF158" s="44"/>
      <c r="FG158" s="44"/>
      <c r="FH158" s="44"/>
      <c r="FI158" s="44"/>
      <c r="FJ158" s="44"/>
      <c r="FK158" s="44"/>
      <c r="FL158" s="44"/>
      <c r="FM158" s="44"/>
      <c r="FN158" s="44"/>
      <c r="FO158" s="44"/>
      <c r="FP158" s="44"/>
      <c r="FQ158" s="44"/>
      <c r="FR158" s="44"/>
      <c r="FS158" s="44"/>
      <c r="FT158" s="44"/>
      <c r="FU158" s="44"/>
      <c r="FV158" s="44"/>
      <c r="FW158" s="44"/>
      <c r="FX158" s="44"/>
      <c r="FY158" s="44"/>
      <c r="FZ158" s="44"/>
      <c r="GA158" s="44"/>
      <c r="GB158" s="44"/>
      <c r="GC158" s="44"/>
      <c r="GD158" s="44"/>
      <c r="GE158" s="44"/>
      <c r="GF158" s="44"/>
      <c r="GG158" s="44"/>
      <c r="GH158" s="44"/>
      <c r="GI158" s="44"/>
      <c r="GJ158" s="44"/>
      <c r="GK158" s="44"/>
      <c r="GL158" s="44"/>
      <c r="GM158" s="44"/>
      <c r="GN158" s="44"/>
      <c r="GO158" s="44"/>
      <c r="GP158" s="44"/>
      <c r="GQ158" s="44"/>
      <c r="GR158" s="44"/>
      <c r="GS158" s="44"/>
      <c r="GT158" s="44"/>
      <c r="GU158" s="44"/>
      <c r="GV158" s="44"/>
      <c r="GW158" s="44"/>
      <c r="GX158" s="44"/>
      <c r="GY158" s="44"/>
      <c r="GZ158" s="44"/>
      <c r="HA158" s="44"/>
      <c r="HB158" s="44"/>
      <c r="HC158" s="44"/>
      <c r="HD158" s="44"/>
      <c r="HE158" s="44"/>
      <c r="HF158" s="44"/>
      <c r="HG158" s="44"/>
      <c r="HH158" s="44"/>
      <c r="HI158" s="44"/>
      <c r="HJ158" s="44"/>
      <c r="HK158" s="44"/>
      <c r="HL158" s="44"/>
      <c r="HM158" s="44"/>
      <c r="HN158" s="44"/>
      <c r="HO158" s="44"/>
      <c r="HP158" s="44"/>
      <c r="HQ158" s="44"/>
      <c r="HR158" s="44"/>
      <c r="HS158" s="44"/>
      <c r="HT158" s="44"/>
      <c r="HU158" s="44"/>
      <c r="HV158" s="44"/>
      <c r="HW158" s="44"/>
      <c r="HX158" s="44"/>
      <c r="HY158" s="44"/>
      <c r="HZ158" s="44"/>
      <c r="IA158" s="44"/>
      <c r="IB158" s="44"/>
      <c r="IC158" s="44"/>
      <c r="ID158" s="44"/>
      <c r="IE158" s="44"/>
      <c r="IF158" s="44"/>
      <c r="IG158" s="44"/>
      <c r="IH158" s="44"/>
      <c r="II158" s="44"/>
      <c r="IJ158" s="44"/>
      <c r="IK158" s="44"/>
      <c r="IL158" s="44"/>
      <c r="IM158" s="44"/>
      <c r="IN158" s="44"/>
      <c r="IO158" s="44"/>
      <c r="IP158" s="44"/>
      <c r="IQ158" s="44"/>
      <c r="IR158" s="44"/>
      <c r="IS158" s="44"/>
      <c r="IT158" s="44"/>
      <c r="IU158" s="44"/>
      <c r="IV158" s="44"/>
      <c r="IW158" s="44"/>
      <c r="IX158" s="44"/>
      <c r="IY158" s="44"/>
      <c r="IZ158" s="44"/>
      <c r="JA158" s="44"/>
      <c r="JB158" s="44"/>
      <c r="JC158" s="44"/>
      <c r="JD158" s="44"/>
      <c r="JE158" s="44"/>
      <c r="JF158" s="44"/>
      <c r="JG158" s="44"/>
      <c r="JH158" s="44"/>
      <c r="JI158" s="44"/>
      <c r="JJ158" s="44"/>
    </row>
    <row r="159" spans="1:270" ht="15.75" customHeight="1">
      <c r="A159" s="22"/>
      <c r="B159" s="23"/>
      <c r="C159" s="24" t="s">
        <v>27</v>
      </c>
      <c r="D159" s="25"/>
      <c r="E159" s="25">
        <f>SUM(E154:E158)</f>
        <v>6</v>
      </c>
      <c r="F159" s="25">
        <v>6</v>
      </c>
      <c r="G159" s="93"/>
      <c r="H159" s="25">
        <f>SUM(E159:F159)</f>
        <v>12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</row>
    <row r="160" spans="1:270" ht="15.75" customHeight="1">
      <c r="A160" s="69"/>
      <c r="B160" s="17"/>
      <c r="C160" s="17"/>
      <c r="D160" s="17"/>
      <c r="E160" s="47"/>
      <c r="F160" s="17"/>
      <c r="G160" s="69"/>
      <c r="H160" s="1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</row>
    <row r="161" spans="1:270" ht="15.75" customHeight="1">
      <c r="A161" s="84"/>
      <c r="B161" s="85"/>
      <c r="C161" s="86"/>
      <c r="D161" s="86"/>
      <c r="E161" s="86"/>
      <c r="F161" s="86"/>
      <c r="G161" s="86"/>
      <c r="H161" s="8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</row>
    <row r="162" spans="1:270" ht="15.75" customHeight="1">
      <c r="A162" s="113" t="s">
        <v>234</v>
      </c>
      <c r="B162" s="114"/>
      <c r="C162" s="114"/>
      <c r="D162" s="114"/>
      <c r="E162" s="115" t="s">
        <v>235</v>
      </c>
      <c r="F162" s="114"/>
      <c r="G162" s="114"/>
      <c r="H162" s="11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</row>
    <row r="163" spans="1:270" ht="15.75" customHeight="1">
      <c r="A163" s="113" t="s">
        <v>236</v>
      </c>
      <c r="B163" s="114"/>
      <c r="C163" s="114"/>
      <c r="D163" s="114"/>
      <c r="E163" s="113" t="s">
        <v>237</v>
      </c>
      <c r="F163" s="114"/>
      <c r="G163" s="114"/>
      <c r="H163" s="11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</row>
    <row r="164" spans="1:270" ht="15.75" customHeight="1">
      <c r="A164" s="1"/>
      <c r="B164" s="2"/>
      <c r="C164" s="1"/>
      <c r="D164" s="1"/>
      <c r="E164" s="1"/>
      <c r="F164" s="1"/>
      <c r="G164" s="1"/>
      <c r="H164" s="2"/>
      <c r="I164" s="10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</row>
    <row r="165" spans="1:270" ht="15.75" customHeight="1">
      <c r="A165" s="1"/>
      <c r="B165" s="2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</row>
    <row r="166" spans="1:270" ht="15.75" customHeight="1">
      <c r="A166" s="1"/>
      <c r="B166" s="2"/>
      <c r="C166" s="1"/>
      <c r="D166" s="1"/>
      <c r="E166" s="1"/>
      <c r="F166" s="1"/>
      <c r="G166" s="1"/>
      <c r="H166" s="2">
        <f>SUM(H159+H149+H138+H126+H116+H102+H91+H75+H65+H55+H31+H18)</f>
        <v>153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</row>
    <row r="167" spans="1:270" ht="15.75" customHeight="1">
      <c r="A167" s="1"/>
      <c r="B167" s="2"/>
      <c r="C167" s="1"/>
      <c r="D167" s="1"/>
      <c r="E167" s="1"/>
      <c r="F167" s="1"/>
      <c r="G167" s="1"/>
      <c r="H167" s="2"/>
      <c r="I167" s="1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  <c r="BE167" s="87"/>
      <c r="BF167" s="87"/>
      <c r="BG167" s="87"/>
      <c r="BH167" s="87"/>
      <c r="BI167" s="87"/>
      <c r="BJ167" s="87"/>
      <c r="BK167" s="87"/>
      <c r="BL167" s="87"/>
      <c r="BM167" s="87"/>
      <c r="BN167" s="87"/>
      <c r="BO167" s="87"/>
      <c r="BP167" s="87"/>
      <c r="BQ167" s="87"/>
      <c r="BR167" s="87"/>
      <c r="BS167" s="87"/>
      <c r="BT167" s="87"/>
      <c r="BU167" s="87"/>
      <c r="BV167" s="87"/>
      <c r="BW167" s="87"/>
      <c r="BX167" s="87"/>
      <c r="BY167" s="87"/>
      <c r="BZ167" s="87"/>
      <c r="CA167" s="87"/>
      <c r="CB167" s="87"/>
      <c r="CC167" s="87"/>
      <c r="CD167" s="87"/>
      <c r="CE167" s="87"/>
      <c r="CF167" s="87"/>
      <c r="CG167" s="87"/>
      <c r="CH167" s="87"/>
      <c r="CI167" s="87"/>
      <c r="CJ167" s="87"/>
      <c r="CK167" s="87"/>
      <c r="CL167" s="87"/>
      <c r="CM167" s="87"/>
      <c r="CN167" s="87"/>
      <c r="CO167" s="87"/>
      <c r="CP167" s="87"/>
      <c r="CQ167" s="87"/>
      <c r="CR167" s="87"/>
      <c r="CS167" s="87"/>
      <c r="CT167" s="87"/>
      <c r="CU167" s="87"/>
      <c r="CV167" s="87"/>
      <c r="CW167" s="87"/>
      <c r="CX167" s="87"/>
      <c r="CY167" s="87"/>
      <c r="CZ167" s="87"/>
      <c r="DA167" s="87"/>
      <c r="DB167" s="87"/>
      <c r="DC167" s="87"/>
      <c r="DD167" s="87"/>
      <c r="DE167" s="87"/>
      <c r="DF167" s="87"/>
      <c r="DG167" s="87"/>
      <c r="DH167" s="87"/>
      <c r="DI167" s="87"/>
      <c r="DJ167" s="87"/>
      <c r="DK167" s="87"/>
      <c r="DL167" s="87"/>
      <c r="DM167" s="87"/>
      <c r="DN167" s="87"/>
      <c r="DO167" s="87"/>
      <c r="DP167" s="87"/>
      <c r="DQ167" s="87"/>
      <c r="DR167" s="87"/>
      <c r="DS167" s="87"/>
      <c r="DT167" s="87"/>
      <c r="DU167" s="87"/>
      <c r="DV167" s="87"/>
      <c r="DW167" s="87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87"/>
      <c r="EQ167" s="87"/>
      <c r="ER167" s="87"/>
      <c r="ES167" s="87"/>
      <c r="ET167" s="87"/>
      <c r="EU167" s="87"/>
      <c r="EV167" s="87"/>
      <c r="EW167" s="87"/>
      <c r="EX167" s="87"/>
      <c r="EY167" s="87"/>
      <c r="EZ167" s="87"/>
      <c r="FA167" s="87"/>
      <c r="FB167" s="87"/>
      <c r="FC167" s="87"/>
      <c r="FD167" s="87"/>
      <c r="FE167" s="87"/>
      <c r="FF167" s="87"/>
      <c r="FG167" s="87"/>
      <c r="FH167" s="87"/>
      <c r="FI167" s="87"/>
      <c r="FJ167" s="87"/>
      <c r="FK167" s="87"/>
      <c r="FL167" s="87"/>
      <c r="FM167" s="87"/>
      <c r="FN167" s="87"/>
      <c r="FO167" s="87"/>
      <c r="FP167" s="87"/>
      <c r="FQ167" s="87"/>
      <c r="FR167" s="87"/>
      <c r="FS167" s="87"/>
      <c r="FT167" s="87"/>
      <c r="FU167" s="87"/>
      <c r="FV167" s="87"/>
      <c r="FW167" s="87"/>
      <c r="FX167" s="87"/>
      <c r="FY167" s="87"/>
      <c r="FZ167" s="87"/>
      <c r="GA167" s="87"/>
      <c r="GB167" s="87"/>
      <c r="GC167" s="87"/>
      <c r="GD167" s="87"/>
      <c r="GE167" s="87"/>
      <c r="GF167" s="87"/>
      <c r="GG167" s="87"/>
      <c r="GH167" s="87"/>
      <c r="GI167" s="87"/>
      <c r="GJ167" s="87"/>
      <c r="GK167" s="87"/>
      <c r="GL167" s="87"/>
      <c r="GM167" s="87"/>
      <c r="GN167" s="87"/>
      <c r="GO167" s="87"/>
      <c r="GP167" s="87"/>
      <c r="GQ167" s="87"/>
      <c r="GR167" s="87"/>
      <c r="GS167" s="87"/>
      <c r="GT167" s="87"/>
      <c r="GU167" s="87"/>
      <c r="GV167" s="87"/>
      <c r="GW167" s="87"/>
      <c r="GX167" s="87"/>
      <c r="GY167" s="87"/>
      <c r="GZ167" s="87"/>
      <c r="HA167" s="87"/>
      <c r="HB167" s="87"/>
      <c r="HC167" s="87"/>
      <c r="HD167" s="87"/>
      <c r="HE167" s="87"/>
      <c r="HF167" s="87"/>
      <c r="HG167" s="87"/>
      <c r="HH167" s="87"/>
      <c r="HI167" s="87"/>
      <c r="HJ167" s="87"/>
      <c r="HK167" s="87"/>
      <c r="HL167" s="87"/>
      <c r="HM167" s="87"/>
      <c r="HN167" s="87"/>
      <c r="HO167" s="87"/>
      <c r="HP167" s="87"/>
      <c r="HQ167" s="87"/>
      <c r="HR167" s="87"/>
      <c r="HS167" s="87"/>
      <c r="HT167" s="87"/>
      <c r="HU167" s="87"/>
      <c r="HV167" s="87"/>
      <c r="HW167" s="87"/>
      <c r="HX167" s="87"/>
      <c r="HY167" s="87"/>
      <c r="HZ167" s="87"/>
      <c r="IA167" s="87"/>
      <c r="IB167" s="87"/>
      <c r="IC167" s="87"/>
      <c r="ID167" s="87"/>
      <c r="IE167" s="87"/>
      <c r="IF167" s="87"/>
      <c r="IG167" s="87"/>
      <c r="IH167" s="87"/>
      <c r="II167" s="87"/>
      <c r="IJ167" s="87"/>
      <c r="IK167" s="87"/>
      <c r="IL167" s="87"/>
      <c r="IM167" s="87"/>
      <c r="IN167" s="87"/>
      <c r="IO167" s="87"/>
      <c r="IP167" s="87"/>
      <c r="IQ167" s="87"/>
      <c r="IR167" s="87"/>
      <c r="IS167" s="87"/>
      <c r="IT167" s="87"/>
      <c r="IU167" s="87"/>
      <c r="IV167" s="87"/>
      <c r="IW167" s="87"/>
      <c r="IX167" s="87"/>
      <c r="IY167" s="87"/>
      <c r="IZ167" s="87"/>
      <c r="JA167" s="87"/>
      <c r="JB167" s="87"/>
      <c r="JC167" s="87"/>
      <c r="JD167" s="87"/>
      <c r="JE167" s="87"/>
      <c r="JF167" s="87"/>
      <c r="JG167" s="87"/>
      <c r="JH167" s="87"/>
      <c r="JI167" s="87"/>
      <c r="JJ167" s="87"/>
    </row>
    <row r="168" spans="1:270" ht="15.75" customHeight="1">
      <c r="A168" s="1"/>
      <c r="B168" s="2"/>
      <c r="C168" s="1"/>
      <c r="D168" s="1"/>
      <c r="E168" s="1"/>
      <c r="F168" s="1"/>
      <c r="G168" s="1"/>
      <c r="H168" s="2"/>
      <c r="I168" s="1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  <c r="BE168" s="87"/>
      <c r="BF168" s="87"/>
      <c r="BG168" s="87"/>
      <c r="BH168" s="87"/>
      <c r="BI168" s="87"/>
      <c r="BJ168" s="87"/>
      <c r="BK168" s="87"/>
      <c r="BL168" s="87"/>
      <c r="BM168" s="87"/>
      <c r="BN168" s="87"/>
      <c r="BO168" s="87"/>
      <c r="BP168" s="87"/>
      <c r="BQ168" s="87"/>
      <c r="BR168" s="87"/>
      <c r="BS168" s="87"/>
      <c r="BT168" s="87"/>
      <c r="BU168" s="87"/>
      <c r="BV168" s="87"/>
      <c r="BW168" s="87"/>
      <c r="BX168" s="87"/>
      <c r="BY168" s="87"/>
      <c r="BZ168" s="87"/>
      <c r="CA168" s="87"/>
      <c r="CB168" s="87"/>
      <c r="CC168" s="87"/>
      <c r="CD168" s="87"/>
      <c r="CE168" s="87"/>
      <c r="CF168" s="87"/>
      <c r="CG168" s="87"/>
      <c r="CH168" s="87"/>
      <c r="CI168" s="87"/>
      <c r="CJ168" s="87"/>
      <c r="CK168" s="87"/>
      <c r="CL168" s="87"/>
      <c r="CM168" s="87"/>
      <c r="CN168" s="87"/>
      <c r="CO168" s="87"/>
      <c r="CP168" s="87"/>
      <c r="CQ168" s="87"/>
      <c r="CR168" s="87"/>
      <c r="CS168" s="87"/>
      <c r="CT168" s="87"/>
      <c r="CU168" s="87"/>
      <c r="CV168" s="87"/>
      <c r="CW168" s="87"/>
      <c r="CX168" s="87"/>
      <c r="CY168" s="87"/>
      <c r="CZ168" s="87"/>
      <c r="DA168" s="87"/>
      <c r="DB168" s="87"/>
      <c r="DC168" s="87"/>
      <c r="DD168" s="87"/>
      <c r="DE168" s="87"/>
      <c r="DF168" s="87"/>
      <c r="DG168" s="87"/>
      <c r="DH168" s="87"/>
      <c r="DI168" s="87"/>
      <c r="DJ168" s="87"/>
      <c r="DK168" s="87"/>
      <c r="DL168" s="87"/>
      <c r="DM168" s="87"/>
      <c r="DN168" s="87"/>
      <c r="DO168" s="87"/>
      <c r="DP168" s="87"/>
      <c r="DQ168" s="87"/>
      <c r="DR168" s="87"/>
      <c r="DS168" s="87"/>
      <c r="DT168" s="87"/>
      <c r="DU168" s="87"/>
      <c r="DV168" s="87"/>
      <c r="DW168" s="87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87"/>
      <c r="EQ168" s="87"/>
      <c r="ER168" s="87"/>
      <c r="ES168" s="87"/>
      <c r="ET168" s="87"/>
      <c r="EU168" s="87"/>
      <c r="EV168" s="87"/>
      <c r="EW168" s="87"/>
      <c r="EX168" s="87"/>
      <c r="EY168" s="87"/>
      <c r="EZ168" s="87"/>
      <c r="FA168" s="87"/>
      <c r="FB168" s="87"/>
      <c r="FC168" s="87"/>
      <c r="FD168" s="87"/>
      <c r="FE168" s="87"/>
      <c r="FF168" s="87"/>
      <c r="FG168" s="87"/>
      <c r="FH168" s="87"/>
      <c r="FI168" s="87"/>
      <c r="FJ168" s="87"/>
      <c r="FK168" s="87"/>
      <c r="FL168" s="87"/>
      <c r="FM168" s="87"/>
      <c r="FN168" s="87"/>
      <c r="FO168" s="87"/>
      <c r="FP168" s="87"/>
      <c r="FQ168" s="87"/>
      <c r="FR168" s="87"/>
      <c r="FS168" s="87"/>
      <c r="FT168" s="87"/>
      <c r="FU168" s="87"/>
      <c r="FV168" s="87"/>
      <c r="FW168" s="87"/>
      <c r="FX168" s="87"/>
      <c r="FY168" s="87"/>
      <c r="FZ168" s="87"/>
      <c r="GA168" s="87"/>
      <c r="GB168" s="87"/>
      <c r="GC168" s="87"/>
      <c r="GD168" s="87"/>
      <c r="GE168" s="87"/>
      <c r="GF168" s="87"/>
      <c r="GG168" s="87"/>
      <c r="GH168" s="87"/>
      <c r="GI168" s="87"/>
      <c r="GJ168" s="87"/>
      <c r="GK168" s="87"/>
      <c r="GL168" s="87"/>
      <c r="GM168" s="87"/>
      <c r="GN168" s="87"/>
      <c r="GO168" s="87"/>
      <c r="GP168" s="87"/>
      <c r="GQ168" s="87"/>
      <c r="GR168" s="87"/>
      <c r="GS168" s="87"/>
      <c r="GT168" s="87"/>
      <c r="GU168" s="87"/>
      <c r="GV168" s="87"/>
      <c r="GW168" s="87"/>
      <c r="GX168" s="87"/>
      <c r="GY168" s="87"/>
      <c r="GZ168" s="87"/>
      <c r="HA168" s="87"/>
      <c r="HB168" s="87"/>
      <c r="HC168" s="87"/>
      <c r="HD168" s="87"/>
      <c r="HE168" s="87"/>
      <c r="HF168" s="87"/>
      <c r="HG168" s="87"/>
      <c r="HH168" s="87"/>
      <c r="HI168" s="87"/>
      <c r="HJ168" s="87"/>
      <c r="HK168" s="87"/>
      <c r="HL168" s="87"/>
      <c r="HM168" s="87"/>
      <c r="HN168" s="87"/>
      <c r="HO168" s="87"/>
      <c r="HP168" s="87"/>
      <c r="HQ168" s="87"/>
      <c r="HR168" s="87"/>
      <c r="HS168" s="87"/>
      <c r="HT168" s="87"/>
      <c r="HU168" s="87"/>
      <c r="HV168" s="87"/>
      <c r="HW168" s="87"/>
      <c r="HX168" s="87"/>
      <c r="HY168" s="87"/>
      <c r="HZ168" s="87"/>
      <c r="IA168" s="87"/>
      <c r="IB168" s="87"/>
      <c r="IC168" s="87"/>
      <c r="ID168" s="87"/>
      <c r="IE168" s="87"/>
      <c r="IF168" s="87"/>
      <c r="IG168" s="87"/>
      <c r="IH168" s="87"/>
      <c r="II168" s="87"/>
      <c r="IJ168" s="87"/>
      <c r="IK168" s="87"/>
      <c r="IL168" s="87"/>
      <c r="IM168" s="87"/>
      <c r="IN168" s="87"/>
      <c r="IO168" s="87"/>
      <c r="IP168" s="87"/>
      <c r="IQ168" s="87"/>
      <c r="IR168" s="87"/>
      <c r="IS168" s="87"/>
      <c r="IT168" s="87"/>
      <c r="IU168" s="87"/>
      <c r="IV168" s="87"/>
      <c r="IW168" s="87"/>
      <c r="IX168" s="87"/>
      <c r="IY168" s="87"/>
      <c r="IZ168" s="87"/>
      <c r="JA168" s="87"/>
      <c r="JB168" s="87"/>
      <c r="JC168" s="87"/>
      <c r="JD168" s="87"/>
      <c r="JE168" s="87"/>
      <c r="JF168" s="87"/>
      <c r="JG168" s="87"/>
      <c r="JH168" s="87"/>
      <c r="JI168" s="87"/>
      <c r="JJ168" s="87"/>
    </row>
    <row r="169" spans="1:270" ht="15.75" customHeight="1">
      <c r="A169" s="1"/>
      <c r="B169" s="2"/>
      <c r="C169" s="1"/>
      <c r="D169" s="1"/>
      <c r="E169" s="1"/>
      <c r="F169" s="1"/>
      <c r="G169" s="1"/>
      <c r="H169" s="2"/>
      <c r="I169" s="1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7"/>
      <c r="BQ169" s="87"/>
      <c r="BR169" s="87"/>
      <c r="BS169" s="87"/>
      <c r="BT169" s="87"/>
      <c r="BU169" s="87"/>
      <c r="BV169" s="87"/>
      <c r="BW169" s="87"/>
      <c r="BX169" s="87"/>
      <c r="BY169" s="87"/>
      <c r="BZ169" s="87"/>
      <c r="CA169" s="87"/>
      <c r="CB169" s="87"/>
      <c r="CC169" s="87"/>
      <c r="CD169" s="87"/>
      <c r="CE169" s="87"/>
      <c r="CF169" s="87"/>
      <c r="CG169" s="87"/>
      <c r="CH169" s="87"/>
      <c r="CI169" s="87"/>
      <c r="CJ169" s="87"/>
      <c r="CK169" s="87"/>
      <c r="CL169" s="87"/>
      <c r="CM169" s="87"/>
      <c r="CN169" s="87"/>
      <c r="CO169" s="87"/>
      <c r="CP169" s="87"/>
      <c r="CQ169" s="87"/>
      <c r="CR169" s="87"/>
      <c r="CS169" s="87"/>
      <c r="CT169" s="87"/>
      <c r="CU169" s="87"/>
      <c r="CV169" s="87"/>
      <c r="CW169" s="87"/>
      <c r="CX169" s="87"/>
      <c r="CY169" s="87"/>
      <c r="CZ169" s="87"/>
      <c r="DA169" s="87"/>
      <c r="DB169" s="87"/>
      <c r="DC169" s="87"/>
      <c r="DD169" s="87"/>
      <c r="DE169" s="87"/>
      <c r="DF169" s="87"/>
      <c r="DG169" s="87"/>
      <c r="DH169" s="87"/>
      <c r="DI169" s="87"/>
      <c r="DJ169" s="87"/>
      <c r="DK169" s="87"/>
      <c r="DL169" s="87"/>
      <c r="DM169" s="87"/>
      <c r="DN169" s="87"/>
      <c r="DO169" s="87"/>
      <c r="DP169" s="87"/>
      <c r="DQ169" s="87"/>
      <c r="DR169" s="87"/>
      <c r="DS169" s="87"/>
      <c r="DT169" s="87"/>
      <c r="DU169" s="87"/>
      <c r="DV169" s="87"/>
      <c r="DW169" s="87"/>
      <c r="DX169" s="87"/>
      <c r="DY169" s="87"/>
      <c r="DZ169" s="87"/>
      <c r="EA169" s="87"/>
      <c r="EB169" s="87"/>
      <c r="EC169" s="87"/>
      <c r="ED169" s="87"/>
      <c r="EE169" s="87"/>
      <c r="EF169" s="87"/>
      <c r="EG169" s="87"/>
      <c r="EH169" s="87"/>
      <c r="EI169" s="87"/>
      <c r="EJ169" s="87"/>
      <c r="EK169" s="87"/>
      <c r="EL169" s="87"/>
      <c r="EM169" s="87"/>
      <c r="EN169" s="87"/>
      <c r="EO169" s="87"/>
      <c r="EP169" s="87"/>
      <c r="EQ169" s="87"/>
      <c r="ER169" s="87"/>
      <c r="ES169" s="87"/>
      <c r="ET169" s="87"/>
      <c r="EU169" s="87"/>
      <c r="EV169" s="87"/>
      <c r="EW169" s="87"/>
      <c r="EX169" s="87"/>
      <c r="EY169" s="87"/>
      <c r="EZ169" s="87"/>
      <c r="FA169" s="87"/>
      <c r="FB169" s="87"/>
      <c r="FC169" s="87"/>
      <c r="FD169" s="87"/>
      <c r="FE169" s="87"/>
      <c r="FF169" s="87"/>
      <c r="FG169" s="87"/>
      <c r="FH169" s="87"/>
      <c r="FI169" s="87"/>
      <c r="FJ169" s="87"/>
      <c r="FK169" s="87"/>
      <c r="FL169" s="87"/>
      <c r="FM169" s="87"/>
      <c r="FN169" s="87"/>
      <c r="FO169" s="87"/>
      <c r="FP169" s="87"/>
      <c r="FQ169" s="87"/>
      <c r="FR169" s="87"/>
      <c r="FS169" s="87"/>
      <c r="FT169" s="87"/>
      <c r="FU169" s="87"/>
      <c r="FV169" s="87"/>
      <c r="FW169" s="87"/>
      <c r="FX169" s="87"/>
      <c r="FY169" s="87"/>
      <c r="FZ169" s="87"/>
      <c r="GA169" s="87"/>
      <c r="GB169" s="87"/>
      <c r="GC169" s="87"/>
      <c r="GD169" s="87"/>
      <c r="GE169" s="87"/>
      <c r="GF169" s="87"/>
      <c r="GG169" s="87"/>
      <c r="GH169" s="87"/>
      <c r="GI169" s="87"/>
      <c r="GJ169" s="87"/>
      <c r="GK169" s="87"/>
      <c r="GL169" s="87"/>
      <c r="GM169" s="87"/>
      <c r="GN169" s="87"/>
      <c r="GO169" s="87"/>
      <c r="GP169" s="87"/>
      <c r="GQ169" s="87"/>
      <c r="GR169" s="87"/>
      <c r="GS169" s="87"/>
      <c r="GT169" s="87"/>
      <c r="GU169" s="87"/>
      <c r="GV169" s="87"/>
      <c r="GW169" s="87"/>
      <c r="GX169" s="87"/>
      <c r="GY169" s="87"/>
      <c r="GZ169" s="87"/>
      <c r="HA169" s="87"/>
      <c r="HB169" s="87"/>
      <c r="HC169" s="87"/>
      <c r="HD169" s="87"/>
      <c r="HE169" s="87"/>
      <c r="HF169" s="87"/>
      <c r="HG169" s="87"/>
      <c r="HH169" s="87"/>
      <c r="HI169" s="87"/>
      <c r="HJ169" s="87"/>
      <c r="HK169" s="87"/>
      <c r="HL169" s="87"/>
      <c r="HM169" s="87"/>
      <c r="HN169" s="87"/>
      <c r="HO169" s="87"/>
      <c r="HP169" s="87"/>
      <c r="HQ169" s="87"/>
      <c r="HR169" s="87"/>
      <c r="HS169" s="87"/>
      <c r="HT169" s="87"/>
      <c r="HU169" s="87"/>
      <c r="HV169" s="87"/>
      <c r="HW169" s="87"/>
      <c r="HX169" s="87"/>
      <c r="HY169" s="87"/>
      <c r="HZ169" s="87"/>
      <c r="IA169" s="87"/>
      <c r="IB169" s="87"/>
      <c r="IC169" s="87"/>
      <c r="ID169" s="87"/>
      <c r="IE169" s="87"/>
      <c r="IF169" s="87"/>
      <c r="IG169" s="87"/>
      <c r="IH169" s="87"/>
      <c r="II169" s="87"/>
      <c r="IJ169" s="87"/>
      <c r="IK169" s="87"/>
      <c r="IL169" s="87"/>
      <c r="IM169" s="87"/>
      <c r="IN169" s="87"/>
      <c r="IO169" s="87"/>
      <c r="IP169" s="87"/>
      <c r="IQ169" s="87"/>
      <c r="IR169" s="87"/>
      <c r="IS169" s="87"/>
      <c r="IT169" s="87"/>
      <c r="IU169" s="87"/>
      <c r="IV169" s="87"/>
      <c r="IW169" s="87"/>
      <c r="IX169" s="87"/>
      <c r="IY169" s="87"/>
      <c r="IZ169" s="87"/>
      <c r="JA169" s="87"/>
      <c r="JB169" s="87"/>
      <c r="JC169" s="87"/>
      <c r="JD169" s="87"/>
      <c r="JE169" s="87"/>
      <c r="JF169" s="87"/>
      <c r="JG169" s="87"/>
      <c r="JH169" s="87"/>
      <c r="JI169" s="87"/>
      <c r="JJ169" s="87"/>
    </row>
    <row r="170" spans="1:270" ht="15.75" customHeight="1">
      <c r="A170" s="1"/>
      <c r="B170" s="2"/>
      <c r="C170" s="1"/>
      <c r="D170" s="1"/>
      <c r="E170" s="1"/>
      <c r="F170" s="1"/>
      <c r="G170" s="1"/>
      <c r="H170" s="2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7"/>
      <c r="BQ170" s="87"/>
      <c r="BR170" s="87"/>
      <c r="BS170" s="87"/>
      <c r="BT170" s="87"/>
      <c r="BU170" s="87"/>
      <c r="BV170" s="87"/>
      <c r="BW170" s="87"/>
      <c r="BX170" s="87"/>
      <c r="BY170" s="87"/>
      <c r="BZ170" s="87"/>
      <c r="CA170" s="87"/>
      <c r="CB170" s="87"/>
      <c r="CC170" s="87"/>
      <c r="CD170" s="87"/>
      <c r="CE170" s="87"/>
      <c r="CF170" s="87"/>
      <c r="CG170" s="87"/>
      <c r="CH170" s="87"/>
      <c r="CI170" s="87"/>
      <c r="CJ170" s="87"/>
      <c r="CK170" s="87"/>
      <c r="CL170" s="87"/>
      <c r="CM170" s="87"/>
      <c r="CN170" s="87"/>
      <c r="CO170" s="87"/>
      <c r="CP170" s="87"/>
      <c r="CQ170" s="87"/>
      <c r="CR170" s="87"/>
      <c r="CS170" s="87"/>
      <c r="CT170" s="87"/>
      <c r="CU170" s="87"/>
      <c r="CV170" s="87"/>
      <c r="CW170" s="87"/>
      <c r="CX170" s="87"/>
      <c r="CY170" s="87"/>
      <c r="CZ170" s="87"/>
      <c r="DA170" s="87"/>
      <c r="DB170" s="87"/>
      <c r="DC170" s="87"/>
      <c r="DD170" s="87"/>
      <c r="DE170" s="87"/>
      <c r="DF170" s="87"/>
      <c r="DG170" s="87"/>
      <c r="DH170" s="87"/>
      <c r="DI170" s="87"/>
      <c r="DJ170" s="87"/>
      <c r="DK170" s="87"/>
      <c r="DL170" s="87"/>
      <c r="DM170" s="87"/>
      <c r="DN170" s="87"/>
      <c r="DO170" s="87"/>
      <c r="DP170" s="87"/>
      <c r="DQ170" s="87"/>
      <c r="DR170" s="87"/>
      <c r="DS170" s="87"/>
      <c r="DT170" s="87"/>
      <c r="DU170" s="87"/>
      <c r="DV170" s="87"/>
      <c r="DW170" s="87"/>
      <c r="DX170" s="87"/>
      <c r="DY170" s="87"/>
      <c r="DZ170" s="87"/>
      <c r="EA170" s="87"/>
      <c r="EB170" s="87"/>
      <c r="EC170" s="87"/>
      <c r="ED170" s="87"/>
      <c r="EE170" s="87"/>
      <c r="EF170" s="87"/>
      <c r="EG170" s="87"/>
      <c r="EH170" s="87"/>
      <c r="EI170" s="87"/>
      <c r="EJ170" s="87"/>
      <c r="EK170" s="87"/>
      <c r="EL170" s="87"/>
      <c r="EM170" s="87"/>
      <c r="EN170" s="87"/>
      <c r="EO170" s="87"/>
      <c r="EP170" s="87"/>
      <c r="EQ170" s="87"/>
      <c r="ER170" s="87"/>
      <c r="ES170" s="87"/>
      <c r="ET170" s="87"/>
      <c r="EU170" s="87"/>
      <c r="EV170" s="87"/>
      <c r="EW170" s="87"/>
      <c r="EX170" s="87"/>
      <c r="EY170" s="87"/>
      <c r="EZ170" s="87"/>
      <c r="FA170" s="87"/>
      <c r="FB170" s="87"/>
      <c r="FC170" s="87"/>
      <c r="FD170" s="87"/>
      <c r="FE170" s="87"/>
      <c r="FF170" s="87"/>
      <c r="FG170" s="87"/>
      <c r="FH170" s="87"/>
      <c r="FI170" s="87"/>
      <c r="FJ170" s="87"/>
      <c r="FK170" s="87"/>
      <c r="FL170" s="87"/>
      <c r="FM170" s="87"/>
      <c r="FN170" s="87"/>
      <c r="FO170" s="87"/>
      <c r="FP170" s="87"/>
      <c r="FQ170" s="87"/>
      <c r="FR170" s="87"/>
      <c r="FS170" s="87"/>
      <c r="FT170" s="87"/>
      <c r="FU170" s="87"/>
      <c r="FV170" s="87"/>
      <c r="FW170" s="87"/>
      <c r="FX170" s="87"/>
      <c r="FY170" s="87"/>
      <c r="FZ170" s="87"/>
      <c r="GA170" s="87"/>
      <c r="GB170" s="87"/>
      <c r="GC170" s="87"/>
      <c r="GD170" s="87"/>
      <c r="GE170" s="87"/>
      <c r="GF170" s="87"/>
      <c r="GG170" s="87"/>
      <c r="GH170" s="87"/>
      <c r="GI170" s="87"/>
      <c r="GJ170" s="87"/>
      <c r="GK170" s="87"/>
      <c r="GL170" s="87"/>
      <c r="GM170" s="87"/>
      <c r="GN170" s="87"/>
      <c r="GO170" s="87"/>
      <c r="GP170" s="87"/>
      <c r="GQ170" s="87"/>
      <c r="GR170" s="87"/>
      <c r="GS170" s="87"/>
      <c r="GT170" s="87"/>
      <c r="GU170" s="87"/>
      <c r="GV170" s="87"/>
      <c r="GW170" s="87"/>
      <c r="GX170" s="87"/>
      <c r="GY170" s="87"/>
      <c r="GZ170" s="87"/>
      <c r="HA170" s="87"/>
      <c r="HB170" s="87"/>
      <c r="HC170" s="87"/>
      <c r="HD170" s="87"/>
      <c r="HE170" s="87"/>
      <c r="HF170" s="87"/>
      <c r="HG170" s="87"/>
      <c r="HH170" s="87"/>
      <c r="HI170" s="87"/>
      <c r="HJ170" s="87"/>
      <c r="HK170" s="87"/>
      <c r="HL170" s="87"/>
      <c r="HM170" s="87"/>
      <c r="HN170" s="87"/>
      <c r="HO170" s="87"/>
      <c r="HP170" s="87"/>
      <c r="HQ170" s="87"/>
      <c r="HR170" s="87"/>
      <c r="HS170" s="87"/>
      <c r="HT170" s="87"/>
      <c r="HU170" s="87"/>
      <c r="HV170" s="87"/>
      <c r="HW170" s="87"/>
      <c r="HX170" s="87"/>
      <c r="HY170" s="87"/>
      <c r="HZ170" s="87"/>
      <c r="IA170" s="87"/>
      <c r="IB170" s="87"/>
      <c r="IC170" s="87"/>
      <c r="ID170" s="87"/>
      <c r="IE170" s="87"/>
      <c r="IF170" s="87"/>
      <c r="IG170" s="87"/>
      <c r="IH170" s="87"/>
      <c r="II170" s="87"/>
      <c r="IJ170" s="87"/>
      <c r="IK170" s="87"/>
      <c r="IL170" s="87"/>
      <c r="IM170" s="87"/>
      <c r="IN170" s="87"/>
      <c r="IO170" s="87"/>
      <c r="IP170" s="87"/>
      <c r="IQ170" s="87"/>
      <c r="IR170" s="87"/>
      <c r="IS170" s="87"/>
      <c r="IT170" s="87"/>
      <c r="IU170" s="87"/>
      <c r="IV170" s="87"/>
      <c r="IW170" s="87"/>
      <c r="IX170" s="87"/>
      <c r="IY170" s="87"/>
      <c r="IZ170" s="87"/>
      <c r="JA170" s="87"/>
      <c r="JB170" s="87"/>
      <c r="JC170" s="87"/>
      <c r="JD170" s="87"/>
      <c r="JE170" s="87"/>
      <c r="JF170" s="87"/>
      <c r="JG170" s="87"/>
      <c r="JH170" s="87"/>
      <c r="JI170" s="87"/>
      <c r="JJ170" s="87"/>
    </row>
    <row r="171" spans="1:270" ht="15.75" customHeight="1">
      <c r="A171" s="1"/>
      <c r="B171" s="2"/>
      <c r="C171" s="1"/>
      <c r="D171" s="1"/>
      <c r="E171" s="1"/>
      <c r="F171" s="1"/>
      <c r="G171" s="1"/>
      <c r="H171" s="2">
        <f>SUM(H12:H159)</f>
        <v>164</v>
      </c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  <c r="BE171" s="87"/>
      <c r="BF171" s="87"/>
      <c r="BG171" s="87"/>
      <c r="BH171" s="87"/>
      <c r="BI171" s="87"/>
      <c r="BJ171" s="87"/>
      <c r="BK171" s="87"/>
      <c r="BL171" s="87"/>
      <c r="BM171" s="87"/>
      <c r="BN171" s="87"/>
      <c r="BO171" s="87"/>
      <c r="BP171" s="87"/>
      <c r="BQ171" s="87"/>
      <c r="BR171" s="87"/>
      <c r="BS171" s="87"/>
      <c r="BT171" s="87"/>
      <c r="BU171" s="87"/>
      <c r="BV171" s="87"/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7"/>
      <c r="CH171" s="87"/>
      <c r="CI171" s="87"/>
      <c r="CJ171" s="87"/>
      <c r="CK171" s="87"/>
      <c r="CL171" s="87"/>
      <c r="CM171" s="87"/>
      <c r="CN171" s="87"/>
      <c r="CO171" s="87"/>
      <c r="CP171" s="87"/>
      <c r="CQ171" s="87"/>
      <c r="CR171" s="87"/>
      <c r="CS171" s="87"/>
      <c r="CT171" s="87"/>
      <c r="CU171" s="87"/>
      <c r="CV171" s="87"/>
      <c r="CW171" s="87"/>
      <c r="CX171" s="87"/>
      <c r="CY171" s="87"/>
      <c r="CZ171" s="87"/>
      <c r="DA171" s="87"/>
      <c r="DB171" s="87"/>
      <c r="DC171" s="87"/>
      <c r="DD171" s="87"/>
      <c r="DE171" s="87"/>
      <c r="DF171" s="87"/>
      <c r="DG171" s="87"/>
      <c r="DH171" s="87"/>
      <c r="DI171" s="87"/>
      <c r="DJ171" s="87"/>
      <c r="DK171" s="87"/>
      <c r="DL171" s="87"/>
      <c r="DM171" s="87"/>
      <c r="DN171" s="87"/>
      <c r="DO171" s="87"/>
      <c r="DP171" s="87"/>
      <c r="DQ171" s="87"/>
      <c r="DR171" s="87"/>
      <c r="DS171" s="87"/>
      <c r="DT171" s="87"/>
      <c r="DU171" s="87"/>
      <c r="DV171" s="87"/>
      <c r="DW171" s="87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87"/>
      <c r="EQ171" s="87"/>
      <c r="ER171" s="87"/>
      <c r="ES171" s="87"/>
      <c r="ET171" s="87"/>
      <c r="EU171" s="87"/>
      <c r="EV171" s="87"/>
      <c r="EW171" s="87"/>
      <c r="EX171" s="87"/>
      <c r="EY171" s="87"/>
      <c r="EZ171" s="87"/>
      <c r="FA171" s="87"/>
      <c r="FB171" s="87"/>
      <c r="FC171" s="87"/>
      <c r="FD171" s="87"/>
      <c r="FE171" s="87"/>
      <c r="FF171" s="87"/>
      <c r="FG171" s="87"/>
      <c r="FH171" s="87"/>
      <c r="FI171" s="87"/>
      <c r="FJ171" s="87"/>
      <c r="FK171" s="87"/>
      <c r="FL171" s="87"/>
      <c r="FM171" s="87"/>
      <c r="FN171" s="87"/>
      <c r="FO171" s="87"/>
      <c r="FP171" s="87"/>
      <c r="FQ171" s="87"/>
      <c r="FR171" s="87"/>
      <c r="FS171" s="87"/>
      <c r="FT171" s="87"/>
      <c r="FU171" s="87"/>
      <c r="FV171" s="87"/>
      <c r="FW171" s="87"/>
      <c r="FX171" s="87"/>
      <c r="FY171" s="87"/>
      <c r="FZ171" s="87"/>
      <c r="GA171" s="87"/>
      <c r="GB171" s="87"/>
      <c r="GC171" s="87"/>
      <c r="GD171" s="87"/>
      <c r="GE171" s="87"/>
      <c r="GF171" s="87"/>
      <c r="GG171" s="87"/>
      <c r="GH171" s="87"/>
      <c r="GI171" s="87"/>
      <c r="GJ171" s="87"/>
      <c r="GK171" s="87"/>
      <c r="GL171" s="87"/>
      <c r="GM171" s="87"/>
      <c r="GN171" s="87"/>
      <c r="GO171" s="87"/>
      <c r="GP171" s="87"/>
      <c r="GQ171" s="87"/>
      <c r="GR171" s="87"/>
      <c r="GS171" s="87"/>
      <c r="GT171" s="87"/>
      <c r="GU171" s="87"/>
      <c r="GV171" s="87"/>
      <c r="GW171" s="87"/>
      <c r="GX171" s="87"/>
      <c r="GY171" s="87"/>
      <c r="GZ171" s="87"/>
      <c r="HA171" s="87"/>
      <c r="HB171" s="87"/>
      <c r="HC171" s="87"/>
      <c r="HD171" s="87"/>
      <c r="HE171" s="87"/>
      <c r="HF171" s="87"/>
      <c r="HG171" s="87"/>
      <c r="HH171" s="87"/>
      <c r="HI171" s="87"/>
      <c r="HJ171" s="87"/>
      <c r="HK171" s="87"/>
      <c r="HL171" s="87"/>
      <c r="HM171" s="87"/>
      <c r="HN171" s="87"/>
      <c r="HO171" s="87"/>
      <c r="HP171" s="87"/>
      <c r="HQ171" s="87"/>
      <c r="HR171" s="87"/>
      <c r="HS171" s="87"/>
      <c r="HT171" s="87"/>
      <c r="HU171" s="87"/>
      <c r="HV171" s="87"/>
      <c r="HW171" s="87"/>
      <c r="HX171" s="87"/>
      <c r="HY171" s="87"/>
      <c r="HZ171" s="87"/>
      <c r="IA171" s="87"/>
      <c r="IB171" s="87"/>
      <c r="IC171" s="87"/>
      <c r="ID171" s="87"/>
      <c r="IE171" s="87"/>
      <c r="IF171" s="87"/>
      <c r="IG171" s="87"/>
      <c r="IH171" s="87"/>
      <c r="II171" s="87"/>
      <c r="IJ171" s="87"/>
      <c r="IK171" s="87"/>
      <c r="IL171" s="87"/>
      <c r="IM171" s="87"/>
      <c r="IN171" s="87"/>
      <c r="IO171" s="87"/>
      <c r="IP171" s="87"/>
      <c r="IQ171" s="87"/>
      <c r="IR171" s="87"/>
      <c r="IS171" s="87"/>
      <c r="IT171" s="87"/>
      <c r="IU171" s="87"/>
      <c r="IV171" s="87"/>
      <c r="IW171" s="87"/>
      <c r="IX171" s="87"/>
      <c r="IY171" s="87"/>
      <c r="IZ171" s="87"/>
      <c r="JA171" s="87"/>
      <c r="JB171" s="87"/>
      <c r="JC171" s="87"/>
      <c r="JD171" s="87"/>
      <c r="JE171" s="87"/>
      <c r="JF171" s="87"/>
      <c r="JG171" s="87"/>
      <c r="JH171" s="87"/>
      <c r="JI171" s="87"/>
      <c r="JJ171" s="87"/>
    </row>
    <row r="172" spans="1:270" ht="15.75" customHeight="1">
      <c r="A172" s="1"/>
      <c r="B172" s="2"/>
      <c r="C172" s="1"/>
      <c r="D172" s="1"/>
      <c r="E172" s="1"/>
      <c r="F172" s="1"/>
      <c r="G172" s="1"/>
      <c r="H172" s="2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7"/>
      <c r="BM172" s="87"/>
      <c r="BN172" s="87"/>
      <c r="BO172" s="87"/>
      <c r="BP172" s="87"/>
      <c r="BQ172" s="87"/>
      <c r="BR172" s="87"/>
      <c r="BS172" s="87"/>
      <c r="BT172" s="87"/>
      <c r="BU172" s="87"/>
      <c r="BV172" s="87"/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7"/>
      <c r="CH172" s="87"/>
      <c r="CI172" s="87"/>
      <c r="CJ172" s="87"/>
      <c r="CK172" s="87"/>
      <c r="CL172" s="87"/>
      <c r="CM172" s="87"/>
      <c r="CN172" s="87"/>
      <c r="CO172" s="87"/>
      <c r="CP172" s="87"/>
      <c r="CQ172" s="87"/>
      <c r="CR172" s="87"/>
      <c r="CS172" s="87"/>
      <c r="CT172" s="87"/>
      <c r="CU172" s="87"/>
      <c r="CV172" s="87"/>
      <c r="CW172" s="87"/>
      <c r="CX172" s="87"/>
      <c r="CY172" s="87"/>
      <c r="CZ172" s="87"/>
      <c r="DA172" s="87"/>
      <c r="DB172" s="87"/>
      <c r="DC172" s="87"/>
      <c r="DD172" s="87"/>
      <c r="DE172" s="87"/>
      <c r="DF172" s="87"/>
      <c r="DG172" s="87"/>
      <c r="DH172" s="87"/>
      <c r="DI172" s="87"/>
      <c r="DJ172" s="87"/>
      <c r="DK172" s="87"/>
      <c r="DL172" s="87"/>
      <c r="DM172" s="87"/>
      <c r="DN172" s="87"/>
      <c r="DO172" s="87"/>
      <c r="DP172" s="87"/>
      <c r="DQ172" s="87"/>
      <c r="DR172" s="87"/>
      <c r="DS172" s="87"/>
      <c r="DT172" s="87"/>
      <c r="DU172" s="87"/>
      <c r="DV172" s="87"/>
      <c r="DW172" s="87"/>
      <c r="DX172" s="87"/>
      <c r="DY172" s="87"/>
      <c r="DZ172" s="87"/>
      <c r="EA172" s="87"/>
      <c r="EB172" s="87"/>
      <c r="EC172" s="87"/>
      <c r="ED172" s="87"/>
      <c r="EE172" s="87"/>
      <c r="EF172" s="87"/>
      <c r="EG172" s="87"/>
      <c r="EH172" s="87"/>
      <c r="EI172" s="87"/>
      <c r="EJ172" s="87"/>
      <c r="EK172" s="87"/>
      <c r="EL172" s="87"/>
      <c r="EM172" s="87"/>
      <c r="EN172" s="87"/>
      <c r="EO172" s="87"/>
      <c r="EP172" s="87"/>
      <c r="EQ172" s="87"/>
      <c r="ER172" s="87"/>
      <c r="ES172" s="87"/>
      <c r="ET172" s="87"/>
      <c r="EU172" s="87"/>
      <c r="EV172" s="87"/>
      <c r="EW172" s="87"/>
      <c r="EX172" s="87"/>
      <c r="EY172" s="87"/>
      <c r="EZ172" s="87"/>
      <c r="FA172" s="87"/>
      <c r="FB172" s="87"/>
      <c r="FC172" s="87"/>
      <c r="FD172" s="87"/>
      <c r="FE172" s="87"/>
      <c r="FF172" s="87"/>
      <c r="FG172" s="87"/>
      <c r="FH172" s="87"/>
      <c r="FI172" s="87"/>
      <c r="FJ172" s="87"/>
      <c r="FK172" s="87"/>
      <c r="FL172" s="87"/>
      <c r="FM172" s="87"/>
      <c r="FN172" s="87"/>
      <c r="FO172" s="87"/>
      <c r="FP172" s="87"/>
      <c r="FQ172" s="87"/>
      <c r="FR172" s="87"/>
      <c r="FS172" s="87"/>
      <c r="FT172" s="87"/>
      <c r="FU172" s="87"/>
      <c r="FV172" s="87"/>
      <c r="FW172" s="87"/>
      <c r="FX172" s="87"/>
      <c r="FY172" s="87"/>
      <c r="FZ172" s="87"/>
      <c r="GA172" s="87"/>
      <c r="GB172" s="87"/>
      <c r="GC172" s="87"/>
      <c r="GD172" s="87"/>
      <c r="GE172" s="87"/>
      <c r="GF172" s="87"/>
      <c r="GG172" s="87"/>
      <c r="GH172" s="87"/>
      <c r="GI172" s="87"/>
      <c r="GJ172" s="87"/>
      <c r="GK172" s="87"/>
      <c r="GL172" s="87"/>
      <c r="GM172" s="87"/>
      <c r="GN172" s="87"/>
      <c r="GO172" s="87"/>
      <c r="GP172" s="87"/>
      <c r="GQ172" s="87"/>
      <c r="GR172" s="87"/>
      <c r="GS172" s="87"/>
      <c r="GT172" s="87"/>
      <c r="GU172" s="87"/>
      <c r="GV172" s="87"/>
      <c r="GW172" s="87"/>
      <c r="GX172" s="87"/>
      <c r="GY172" s="87"/>
      <c r="GZ172" s="87"/>
      <c r="HA172" s="87"/>
      <c r="HB172" s="87"/>
      <c r="HC172" s="87"/>
      <c r="HD172" s="87"/>
      <c r="HE172" s="87"/>
      <c r="HF172" s="87"/>
      <c r="HG172" s="87"/>
      <c r="HH172" s="87"/>
      <c r="HI172" s="87"/>
      <c r="HJ172" s="87"/>
      <c r="HK172" s="87"/>
      <c r="HL172" s="87"/>
      <c r="HM172" s="87"/>
      <c r="HN172" s="87"/>
      <c r="HO172" s="87"/>
      <c r="HP172" s="87"/>
      <c r="HQ172" s="87"/>
      <c r="HR172" s="87"/>
      <c r="HS172" s="87"/>
      <c r="HT172" s="87"/>
      <c r="HU172" s="87"/>
      <c r="HV172" s="87"/>
      <c r="HW172" s="87"/>
      <c r="HX172" s="87"/>
      <c r="HY172" s="87"/>
      <c r="HZ172" s="87"/>
      <c r="IA172" s="87"/>
      <c r="IB172" s="87"/>
      <c r="IC172" s="87"/>
      <c r="ID172" s="87"/>
      <c r="IE172" s="87"/>
      <c r="IF172" s="87"/>
      <c r="IG172" s="87"/>
      <c r="IH172" s="87"/>
      <c r="II172" s="87"/>
      <c r="IJ172" s="87"/>
      <c r="IK172" s="87"/>
      <c r="IL172" s="87"/>
      <c r="IM172" s="87"/>
      <c r="IN172" s="87"/>
      <c r="IO172" s="87"/>
      <c r="IP172" s="87"/>
      <c r="IQ172" s="87"/>
      <c r="IR172" s="87"/>
      <c r="IS172" s="87"/>
      <c r="IT172" s="87"/>
      <c r="IU172" s="87"/>
      <c r="IV172" s="87"/>
      <c r="IW172" s="87"/>
      <c r="IX172" s="87"/>
      <c r="IY172" s="87"/>
      <c r="IZ172" s="87"/>
      <c r="JA172" s="87"/>
      <c r="JB172" s="87"/>
      <c r="JC172" s="87"/>
      <c r="JD172" s="87"/>
      <c r="JE172" s="87"/>
      <c r="JF172" s="87"/>
      <c r="JG172" s="87"/>
      <c r="JH172" s="87"/>
      <c r="JI172" s="87"/>
      <c r="JJ172" s="87"/>
    </row>
    <row r="173" spans="1:270" ht="15.75" customHeight="1">
      <c r="A173" s="1"/>
      <c r="B173" s="2"/>
      <c r="C173" s="1"/>
      <c r="D173" s="1"/>
      <c r="E173" s="1"/>
      <c r="F173" s="1"/>
      <c r="G173" s="1"/>
      <c r="H173" s="2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/>
      <c r="BQ173" s="87"/>
      <c r="BR173" s="87"/>
      <c r="BS173" s="87"/>
      <c r="BT173" s="87"/>
      <c r="BU173" s="87"/>
      <c r="BV173" s="87"/>
      <c r="BW173" s="87"/>
      <c r="BX173" s="87"/>
      <c r="BY173" s="87"/>
      <c r="BZ173" s="87"/>
      <c r="CA173" s="87"/>
      <c r="CB173" s="87"/>
      <c r="CC173" s="87"/>
      <c r="CD173" s="87"/>
      <c r="CE173" s="87"/>
      <c r="CF173" s="87"/>
      <c r="CG173" s="87"/>
      <c r="CH173" s="87"/>
      <c r="CI173" s="87"/>
      <c r="CJ173" s="87"/>
      <c r="CK173" s="87"/>
      <c r="CL173" s="87"/>
      <c r="CM173" s="87"/>
      <c r="CN173" s="87"/>
      <c r="CO173" s="87"/>
      <c r="CP173" s="87"/>
      <c r="CQ173" s="87"/>
      <c r="CR173" s="87"/>
      <c r="CS173" s="87"/>
      <c r="CT173" s="87"/>
      <c r="CU173" s="87"/>
      <c r="CV173" s="87"/>
      <c r="CW173" s="87"/>
      <c r="CX173" s="87"/>
      <c r="CY173" s="87"/>
      <c r="CZ173" s="87"/>
      <c r="DA173" s="87"/>
      <c r="DB173" s="87"/>
      <c r="DC173" s="87"/>
      <c r="DD173" s="87"/>
      <c r="DE173" s="87"/>
      <c r="DF173" s="87"/>
      <c r="DG173" s="87"/>
      <c r="DH173" s="87"/>
      <c r="DI173" s="87"/>
      <c r="DJ173" s="87"/>
      <c r="DK173" s="87"/>
      <c r="DL173" s="87"/>
      <c r="DM173" s="87"/>
      <c r="DN173" s="87"/>
      <c r="DO173" s="87"/>
      <c r="DP173" s="87"/>
      <c r="DQ173" s="87"/>
      <c r="DR173" s="87"/>
      <c r="DS173" s="87"/>
      <c r="DT173" s="87"/>
      <c r="DU173" s="87"/>
      <c r="DV173" s="87"/>
      <c r="DW173" s="87"/>
      <c r="DX173" s="87"/>
      <c r="DY173" s="87"/>
      <c r="DZ173" s="87"/>
      <c r="EA173" s="87"/>
      <c r="EB173" s="87"/>
      <c r="EC173" s="87"/>
      <c r="ED173" s="87"/>
      <c r="EE173" s="87"/>
      <c r="EF173" s="87"/>
      <c r="EG173" s="87"/>
      <c r="EH173" s="87"/>
      <c r="EI173" s="87"/>
      <c r="EJ173" s="87"/>
      <c r="EK173" s="87"/>
      <c r="EL173" s="87"/>
      <c r="EM173" s="87"/>
      <c r="EN173" s="87"/>
      <c r="EO173" s="87"/>
      <c r="EP173" s="87"/>
      <c r="EQ173" s="87"/>
      <c r="ER173" s="87"/>
      <c r="ES173" s="87"/>
      <c r="ET173" s="87"/>
      <c r="EU173" s="87"/>
      <c r="EV173" s="87"/>
      <c r="EW173" s="87"/>
      <c r="EX173" s="87"/>
      <c r="EY173" s="87"/>
      <c r="EZ173" s="87"/>
      <c r="FA173" s="87"/>
      <c r="FB173" s="87"/>
      <c r="FC173" s="87"/>
      <c r="FD173" s="87"/>
      <c r="FE173" s="87"/>
      <c r="FF173" s="87"/>
      <c r="FG173" s="87"/>
      <c r="FH173" s="87"/>
      <c r="FI173" s="87"/>
      <c r="FJ173" s="87"/>
      <c r="FK173" s="87"/>
      <c r="FL173" s="87"/>
      <c r="FM173" s="87"/>
      <c r="FN173" s="87"/>
      <c r="FO173" s="87"/>
      <c r="FP173" s="87"/>
      <c r="FQ173" s="87"/>
      <c r="FR173" s="87"/>
      <c r="FS173" s="87"/>
      <c r="FT173" s="87"/>
      <c r="FU173" s="87"/>
      <c r="FV173" s="87"/>
      <c r="FW173" s="87"/>
      <c r="FX173" s="87"/>
      <c r="FY173" s="87"/>
      <c r="FZ173" s="87"/>
      <c r="GA173" s="87"/>
      <c r="GB173" s="87"/>
      <c r="GC173" s="87"/>
      <c r="GD173" s="87"/>
      <c r="GE173" s="87"/>
      <c r="GF173" s="87"/>
      <c r="GG173" s="87"/>
      <c r="GH173" s="87"/>
      <c r="GI173" s="87"/>
      <c r="GJ173" s="87"/>
      <c r="GK173" s="87"/>
      <c r="GL173" s="87"/>
      <c r="GM173" s="87"/>
      <c r="GN173" s="87"/>
      <c r="GO173" s="87"/>
      <c r="GP173" s="87"/>
      <c r="GQ173" s="87"/>
      <c r="GR173" s="87"/>
      <c r="GS173" s="87"/>
      <c r="GT173" s="87"/>
      <c r="GU173" s="87"/>
      <c r="GV173" s="87"/>
      <c r="GW173" s="87"/>
      <c r="GX173" s="87"/>
      <c r="GY173" s="87"/>
      <c r="GZ173" s="87"/>
      <c r="HA173" s="87"/>
      <c r="HB173" s="87"/>
      <c r="HC173" s="87"/>
      <c r="HD173" s="87"/>
      <c r="HE173" s="87"/>
      <c r="HF173" s="87"/>
      <c r="HG173" s="87"/>
      <c r="HH173" s="87"/>
      <c r="HI173" s="87"/>
      <c r="HJ173" s="87"/>
      <c r="HK173" s="87"/>
      <c r="HL173" s="87"/>
      <c r="HM173" s="87"/>
      <c r="HN173" s="87"/>
      <c r="HO173" s="87"/>
      <c r="HP173" s="87"/>
      <c r="HQ173" s="87"/>
      <c r="HR173" s="87"/>
      <c r="HS173" s="87"/>
      <c r="HT173" s="87"/>
      <c r="HU173" s="87"/>
      <c r="HV173" s="87"/>
      <c r="HW173" s="87"/>
      <c r="HX173" s="87"/>
      <c r="HY173" s="87"/>
      <c r="HZ173" s="87"/>
      <c r="IA173" s="87"/>
      <c r="IB173" s="87"/>
      <c r="IC173" s="87"/>
      <c r="ID173" s="87"/>
      <c r="IE173" s="87"/>
      <c r="IF173" s="87"/>
      <c r="IG173" s="87"/>
      <c r="IH173" s="87"/>
      <c r="II173" s="87"/>
      <c r="IJ173" s="87"/>
      <c r="IK173" s="87"/>
      <c r="IL173" s="87"/>
      <c r="IM173" s="87"/>
      <c r="IN173" s="87"/>
      <c r="IO173" s="87"/>
      <c r="IP173" s="87"/>
      <c r="IQ173" s="87"/>
      <c r="IR173" s="87"/>
      <c r="IS173" s="87"/>
      <c r="IT173" s="87"/>
      <c r="IU173" s="87"/>
      <c r="IV173" s="87"/>
      <c r="IW173" s="87"/>
      <c r="IX173" s="87"/>
      <c r="IY173" s="87"/>
      <c r="IZ173" s="87"/>
      <c r="JA173" s="87"/>
      <c r="JB173" s="87"/>
      <c r="JC173" s="87"/>
      <c r="JD173" s="87"/>
      <c r="JE173" s="87"/>
      <c r="JF173" s="87"/>
      <c r="JG173" s="87"/>
      <c r="JH173" s="87"/>
      <c r="JI173" s="87"/>
      <c r="JJ173" s="87"/>
    </row>
    <row r="174" spans="1:270" ht="15.75" customHeight="1">
      <c r="A174" s="1"/>
      <c r="B174" s="2"/>
      <c r="C174" s="1"/>
      <c r="D174" s="1"/>
      <c r="E174" s="1"/>
      <c r="F174" s="1"/>
      <c r="G174" s="1"/>
      <c r="H174" s="2"/>
      <c r="I174" s="87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</row>
    <row r="175" spans="1:270" ht="15.75" customHeight="1">
      <c r="A175" s="1"/>
      <c r="B175" s="2"/>
      <c r="C175" s="1"/>
      <c r="D175" s="1"/>
      <c r="E175" s="1"/>
      <c r="F175" s="1"/>
      <c r="G175" s="1"/>
      <c r="H175" s="2"/>
      <c r="I175" s="8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  <c r="EV175" s="18"/>
      <c r="EW175" s="18"/>
      <c r="EX175" s="18"/>
      <c r="EY175" s="18"/>
      <c r="EZ175" s="18"/>
      <c r="FA175" s="18"/>
      <c r="FB175" s="18"/>
      <c r="FC175" s="18"/>
      <c r="FD175" s="18"/>
      <c r="FE175" s="18"/>
      <c r="FF175" s="18"/>
      <c r="FG175" s="18"/>
      <c r="FH175" s="18"/>
      <c r="FI175" s="18"/>
      <c r="FJ175" s="18"/>
      <c r="FK175" s="18"/>
      <c r="FL175" s="18"/>
      <c r="FM175" s="18"/>
      <c r="FN175" s="18"/>
      <c r="FO175" s="18"/>
      <c r="FP175" s="18"/>
      <c r="FQ175" s="18"/>
      <c r="FR175" s="18"/>
      <c r="FS175" s="18"/>
      <c r="FT175" s="18"/>
      <c r="FU175" s="18"/>
      <c r="FV175" s="18"/>
      <c r="FW175" s="18"/>
      <c r="FX175" s="18"/>
      <c r="FY175" s="18"/>
      <c r="FZ175" s="18"/>
      <c r="GA175" s="18"/>
      <c r="GB175" s="18"/>
      <c r="GC175" s="18"/>
      <c r="GD175" s="18"/>
      <c r="GE175" s="18"/>
      <c r="GF175" s="18"/>
      <c r="GG175" s="18"/>
      <c r="GH175" s="18"/>
      <c r="GI175" s="18"/>
      <c r="GJ175" s="18"/>
      <c r="GK175" s="18"/>
      <c r="GL175" s="18"/>
      <c r="GM175" s="18"/>
      <c r="GN175" s="18"/>
      <c r="GO175" s="18"/>
      <c r="GP175" s="18"/>
      <c r="GQ175" s="18"/>
      <c r="GR175" s="18"/>
      <c r="GS175" s="18"/>
      <c r="GT175" s="18"/>
      <c r="GU175" s="18"/>
      <c r="GV175" s="18"/>
      <c r="GW175" s="18"/>
      <c r="GX175" s="18"/>
      <c r="GY175" s="18"/>
      <c r="GZ175" s="18"/>
      <c r="HA175" s="18"/>
      <c r="HB175" s="18"/>
      <c r="HC175" s="18"/>
      <c r="HD175" s="18"/>
      <c r="HE175" s="18"/>
      <c r="HF175" s="18"/>
      <c r="HG175" s="18"/>
      <c r="HH175" s="18"/>
      <c r="HI175" s="18"/>
      <c r="HJ175" s="18"/>
      <c r="HK175" s="18"/>
      <c r="HL175" s="18"/>
      <c r="HM175" s="18"/>
      <c r="HN175" s="18"/>
      <c r="HO175" s="18"/>
      <c r="HP175" s="18"/>
      <c r="HQ175" s="18"/>
      <c r="HR175" s="18"/>
      <c r="HS175" s="18"/>
      <c r="HT175" s="18"/>
      <c r="HU175" s="18"/>
      <c r="HV175" s="18"/>
      <c r="HW175" s="18"/>
      <c r="HX175" s="18"/>
      <c r="HY175" s="18"/>
      <c r="HZ175" s="18"/>
      <c r="IA175" s="18"/>
      <c r="IB175" s="18"/>
      <c r="IC175" s="18"/>
      <c r="ID175" s="18"/>
      <c r="IE175" s="18"/>
      <c r="IF175" s="18"/>
      <c r="IG175" s="18"/>
      <c r="IH175" s="18"/>
      <c r="II175" s="18"/>
      <c r="IJ175" s="18"/>
      <c r="IK175" s="18"/>
      <c r="IL175" s="18"/>
      <c r="IM175" s="18"/>
      <c r="IN175" s="18"/>
      <c r="IO175" s="18"/>
      <c r="IP175" s="18"/>
      <c r="IQ175" s="18"/>
      <c r="IR175" s="18"/>
      <c r="IS175" s="18"/>
      <c r="IT175" s="18"/>
      <c r="IU175" s="18"/>
      <c r="IV175" s="18"/>
      <c r="IW175" s="18"/>
      <c r="IX175" s="18"/>
      <c r="IY175" s="18"/>
      <c r="IZ175" s="18"/>
      <c r="JA175" s="18"/>
      <c r="JB175" s="18"/>
      <c r="JC175" s="18"/>
      <c r="JD175" s="18"/>
      <c r="JE175" s="18"/>
      <c r="JF175" s="18"/>
      <c r="JG175" s="18"/>
      <c r="JH175" s="18"/>
      <c r="JI175" s="18"/>
      <c r="JJ175" s="18"/>
    </row>
    <row r="176" spans="1:270" ht="15.75" customHeight="1">
      <c r="A176" s="1"/>
      <c r="B176" s="2"/>
      <c r="C176" s="1"/>
      <c r="D176" s="1"/>
      <c r="E176" s="1"/>
      <c r="F176" s="1"/>
      <c r="G176" s="1"/>
      <c r="H176" s="2"/>
      <c r="I176" s="87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  <c r="DK176" s="44"/>
      <c r="DL176" s="44"/>
      <c r="DM176" s="44"/>
      <c r="DN176" s="44"/>
      <c r="DO176" s="44"/>
      <c r="DP176" s="44"/>
      <c r="DQ176" s="44"/>
      <c r="DR176" s="44"/>
      <c r="DS176" s="44"/>
      <c r="DT176" s="44"/>
      <c r="DU176" s="44"/>
      <c r="DV176" s="44"/>
      <c r="DW176" s="44"/>
      <c r="DX176" s="44"/>
      <c r="DY176" s="44"/>
      <c r="DZ176" s="44"/>
      <c r="EA176" s="44"/>
      <c r="EB176" s="44"/>
      <c r="EC176" s="44"/>
      <c r="ED176" s="44"/>
      <c r="EE176" s="44"/>
      <c r="EF176" s="44"/>
      <c r="EG176" s="44"/>
      <c r="EH176" s="44"/>
      <c r="EI176" s="44"/>
      <c r="EJ176" s="44"/>
      <c r="EK176" s="44"/>
      <c r="EL176" s="44"/>
      <c r="EM176" s="44"/>
      <c r="EN176" s="44"/>
      <c r="EO176" s="44"/>
      <c r="EP176" s="44"/>
      <c r="EQ176" s="44"/>
      <c r="ER176" s="44"/>
      <c r="ES176" s="44"/>
      <c r="ET176" s="44"/>
      <c r="EU176" s="44"/>
      <c r="EV176" s="44"/>
      <c r="EW176" s="44"/>
      <c r="EX176" s="44"/>
      <c r="EY176" s="44"/>
      <c r="EZ176" s="44"/>
      <c r="FA176" s="44"/>
      <c r="FB176" s="44"/>
      <c r="FC176" s="44"/>
      <c r="FD176" s="44"/>
      <c r="FE176" s="44"/>
      <c r="FF176" s="44"/>
      <c r="FG176" s="44"/>
      <c r="FH176" s="44"/>
      <c r="FI176" s="44"/>
      <c r="FJ176" s="44"/>
      <c r="FK176" s="44"/>
      <c r="FL176" s="44"/>
      <c r="FM176" s="44"/>
      <c r="FN176" s="44"/>
      <c r="FO176" s="44"/>
      <c r="FP176" s="44"/>
      <c r="FQ176" s="44"/>
      <c r="FR176" s="44"/>
      <c r="FS176" s="44"/>
      <c r="FT176" s="44"/>
      <c r="FU176" s="44"/>
      <c r="FV176" s="44"/>
      <c r="FW176" s="44"/>
      <c r="FX176" s="44"/>
      <c r="FY176" s="44"/>
      <c r="FZ176" s="44"/>
      <c r="GA176" s="44"/>
      <c r="GB176" s="44"/>
      <c r="GC176" s="44"/>
      <c r="GD176" s="44"/>
      <c r="GE176" s="44"/>
      <c r="GF176" s="44"/>
      <c r="GG176" s="44"/>
      <c r="GH176" s="44"/>
      <c r="GI176" s="44"/>
      <c r="GJ176" s="44"/>
      <c r="GK176" s="44"/>
      <c r="GL176" s="44"/>
      <c r="GM176" s="44"/>
      <c r="GN176" s="44"/>
      <c r="GO176" s="44"/>
      <c r="GP176" s="44"/>
      <c r="GQ176" s="44"/>
      <c r="GR176" s="44"/>
      <c r="GS176" s="44"/>
      <c r="GT176" s="44"/>
      <c r="GU176" s="44"/>
      <c r="GV176" s="44"/>
      <c r="GW176" s="44"/>
      <c r="GX176" s="44"/>
      <c r="GY176" s="44"/>
      <c r="GZ176" s="44"/>
      <c r="HA176" s="44"/>
      <c r="HB176" s="44"/>
      <c r="HC176" s="44"/>
      <c r="HD176" s="44"/>
      <c r="HE176" s="44"/>
      <c r="HF176" s="44"/>
      <c r="HG176" s="44"/>
      <c r="HH176" s="44"/>
      <c r="HI176" s="44"/>
      <c r="HJ176" s="44"/>
      <c r="HK176" s="44"/>
      <c r="HL176" s="44"/>
      <c r="HM176" s="44"/>
      <c r="HN176" s="44"/>
      <c r="HO176" s="44"/>
      <c r="HP176" s="44"/>
      <c r="HQ176" s="44"/>
      <c r="HR176" s="44"/>
      <c r="HS176" s="44"/>
      <c r="HT176" s="44"/>
      <c r="HU176" s="44"/>
      <c r="HV176" s="44"/>
      <c r="HW176" s="44"/>
      <c r="HX176" s="44"/>
      <c r="HY176" s="44"/>
      <c r="HZ176" s="44"/>
      <c r="IA176" s="44"/>
      <c r="IB176" s="44"/>
      <c r="IC176" s="44"/>
      <c r="ID176" s="44"/>
      <c r="IE176" s="44"/>
      <c r="IF176" s="44"/>
      <c r="IG176" s="44"/>
      <c r="IH176" s="44"/>
      <c r="II176" s="44"/>
      <c r="IJ176" s="44"/>
      <c r="IK176" s="44"/>
      <c r="IL176" s="44"/>
      <c r="IM176" s="44"/>
      <c r="IN176" s="44"/>
      <c r="IO176" s="44"/>
      <c r="IP176" s="44"/>
      <c r="IQ176" s="44"/>
      <c r="IR176" s="44"/>
      <c r="IS176" s="44"/>
      <c r="IT176" s="44"/>
      <c r="IU176" s="44"/>
      <c r="IV176" s="44"/>
      <c r="IW176" s="44"/>
      <c r="IX176" s="44"/>
      <c r="IY176" s="44"/>
      <c r="IZ176" s="44"/>
      <c r="JA176" s="44"/>
      <c r="JB176" s="44"/>
      <c r="JC176" s="44"/>
      <c r="JD176" s="44"/>
      <c r="JE176" s="44"/>
      <c r="JF176" s="44"/>
      <c r="JG176" s="44"/>
      <c r="JH176" s="44"/>
      <c r="JI176" s="44"/>
      <c r="JJ176" s="44"/>
    </row>
    <row r="177" spans="1:270" ht="15.75" customHeight="1">
      <c r="A177" s="87"/>
      <c r="B177" s="88"/>
      <c r="C177" s="87"/>
      <c r="D177" s="87"/>
      <c r="E177" s="87"/>
      <c r="F177" s="87"/>
      <c r="G177" s="87"/>
      <c r="H177" s="88"/>
      <c r="I177" s="1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  <c r="DC177" s="18"/>
      <c r="DD177" s="18"/>
      <c r="DE177" s="18"/>
      <c r="DF177" s="18"/>
      <c r="DG177" s="18"/>
      <c r="DH177" s="18"/>
      <c r="DI177" s="18"/>
      <c r="DJ177" s="18"/>
      <c r="DK177" s="18"/>
      <c r="DL177" s="18"/>
      <c r="DM177" s="18"/>
      <c r="DN177" s="18"/>
      <c r="DO177" s="18"/>
      <c r="DP177" s="18"/>
      <c r="DQ177" s="18"/>
      <c r="DR177" s="18"/>
      <c r="DS177" s="18"/>
      <c r="DT177" s="18"/>
      <c r="DU177" s="18"/>
      <c r="DV177" s="18"/>
      <c r="DW177" s="18"/>
      <c r="DX177" s="18"/>
      <c r="DY177" s="18"/>
      <c r="DZ177" s="18"/>
      <c r="EA177" s="18"/>
      <c r="EB177" s="18"/>
      <c r="EC177" s="18"/>
      <c r="ED177" s="18"/>
      <c r="EE177" s="18"/>
      <c r="EF177" s="18"/>
      <c r="EG177" s="18"/>
      <c r="EH177" s="18"/>
      <c r="EI177" s="18"/>
      <c r="EJ177" s="18"/>
      <c r="EK177" s="18"/>
      <c r="EL177" s="18"/>
      <c r="EM177" s="18"/>
      <c r="EN177" s="18"/>
      <c r="EO177" s="18"/>
      <c r="EP177" s="18"/>
      <c r="EQ177" s="18"/>
      <c r="ER177" s="18"/>
      <c r="ES177" s="18"/>
      <c r="ET177" s="18"/>
      <c r="EU177" s="18"/>
      <c r="EV177" s="18"/>
      <c r="EW177" s="18"/>
      <c r="EX177" s="18"/>
      <c r="EY177" s="18"/>
      <c r="EZ177" s="18"/>
      <c r="FA177" s="18"/>
      <c r="FB177" s="18"/>
      <c r="FC177" s="18"/>
      <c r="FD177" s="18"/>
      <c r="FE177" s="18"/>
      <c r="FF177" s="18"/>
      <c r="FG177" s="18"/>
      <c r="FH177" s="18"/>
      <c r="FI177" s="18"/>
      <c r="FJ177" s="18"/>
      <c r="FK177" s="18"/>
      <c r="FL177" s="18"/>
      <c r="FM177" s="18"/>
      <c r="FN177" s="18"/>
      <c r="FO177" s="18"/>
      <c r="FP177" s="18"/>
      <c r="FQ177" s="18"/>
      <c r="FR177" s="18"/>
      <c r="FS177" s="18"/>
      <c r="FT177" s="18"/>
      <c r="FU177" s="18"/>
      <c r="FV177" s="18"/>
      <c r="FW177" s="18"/>
      <c r="FX177" s="18"/>
      <c r="FY177" s="18"/>
      <c r="FZ177" s="18"/>
      <c r="GA177" s="18"/>
      <c r="GB177" s="18"/>
      <c r="GC177" s="18"/>
      <c r="GD177" s="18"/>
      <c r="GE177" s="18"/>
      <c r="GF177" s="18"/>
      <c r="GG177" s="18"/>
      <c r="GH177" s="18"/>
      <c r="GI177" s="18"/>
      <c r="GJ177" s="18"/>
      <c r="GK177" s="18"/>
      <c r="GL177" s="18"/>
      <c r="GM177" s="18"/>
      <c r="GN177" s="18"/>
      <c r="GO177" s="18"/>
      <c r="GP177" s="18"/>
      <c r="GQ177" s="18"/>
      <c r="GR177" s="18"/>
      <c r="GS177" s="18"/>
      <c r="GT177" s="18"/>
      <c r="GU177" s="18"/>
      <c r="GV177" s="18"/>
      <c r="GW177" s="18"/>
      <c r="GX177" s="18"/>
      <c r="GY177" s="18"/>
      <c r="GZ177" s="18"/>
      <c r="HA177" s="18"/>
      <c r="HB177" s="18"/>
      <c r="HC177" s="18"/>
      <c r="HD177" s="18"/>
      <c r="HE177" s="18"/>
      <c r="HF177" s="18"/>
      <c r="HG177" s="18"/>
      <c r="HH177" s="18"/>
      <c r="HI177" s="18"/>
      <c r="HJ177" s="18"/>
      <c r="HK177" s="18"/>
      <c r="HL177" s="18"/>
      <c r="HM177" s="18"/>
      <c r="HN177" s="18"/>
      <c r="HO177" s="18"/>
      <c r="HP177" s="18"/>
      <c r="HQ177" s="18"/>
      <c r="HR177" s="18"/>
      <c r="HS177" s="18"/>
      <c r="HT177" s="18"/>
      <c r="HU177" s="18"/>
      <c r="HV177" s="18"/>
      <c r="HW177" s="18"/>
      <c r="HX177" s="18"/>
      <c r="HY177" s="18"/>
      <c r="HZ177" s="18"/>
      <c r="IA177" s="18"/>
      <c r="IB177" s="18"/>
      <c r="IC177" s="18"/>
      <c r="ID177" s="18"/>
      <c r="IE177" s="18"/>
      <c r="IF177" s="18"/>
      <c r="IG177" s="18"/>
      <c r="IH177" s="18"/>
      <c r="II177" s="18"/>
      <c r="IJ177" s="18"/>
      <c r="IK177" s="18"/>
      <c r="IL177" s="18"/>
      <c r="IM177" s="18"/>
      <c r="IN177" s="18"/>
      <c r="IO177" s="18"/>
      <c r="IP177" s="18"/>
      <c r="IQ177" s="18"/>
      <c r="IR177" s="18"/>
      <c r="IS177" s="18"/>
      <c r="IT177" s="18"/>
      <c r="IU177" s="18"/>
      <c r="IV177" s="18"/>
      <c r="IW177" s="18"/>
      <c r="IX177" s="18"/>
      <c r="IY177" s="18"/>
      <c r="IZ177" s="18"/>
      <c r="JA177" s="18"/>
      <c r="JB177" s="18"/>
      <c r="JC177" s="18"/>
      <c r="JD177" s="18"/>
      <c r="JE177" s="18"/>
      <c r="JF177" s="18"/>
      <c r="JG177" s="18"/>
      <c r="JH177" s="18"/>
      <c r="JI177" s="18"/>
      <c r="JJ177" s="18"/>
    </row>
    <row r="178" spans="1:270" ht="15.75" customHeight="1">
      <c r="A178" s="87"/>
      <c r="B178" s="88"/>
      <c r="C178" s="87"/>
      <c r="D178" s="87"/>
      <c r="E178" s="87"/>
      <c r="F178" s="87"/>
      <c r="G178" s="87"/>
      <c r="H178" s="8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  <c r="DC178" s="18"/>
      <c r="DD178" s="18"/>
      <c r="DE178" s="18"/>
      <c r="DF178" s="18"/>
      <c r="DG178" s="18"/>
      <c r="DH178" s="18"/>
      <c r="DI178" s="18"/>
      <c r="DJ178" s="18"/>
      <c r="DK178" s="18"/>
      <c r="DL178" s="18"/>
      <c r="DM178" s="18"/>
      <c r="DN178" s="18"/>
      <c r="DO178" s="18"/>
      <c r="DP178" s="18"/>
      <c r="DQ178" s="18"/>
      <c r="DR178" s="18"/>
      <c r="DS178" s="18"/>
      <c r="DT178" s="18"/>
      <c r="DU178" s="18"/>
      <c r="DV178" s="18"/>
      <c r="DW178" s="18"/>
      <c r="DX178" s="18"/>
      <c r="DY178" s="18"/>
      <c r="DZ178" s="18"/>
      <c r="EA178" s="18"/>
      <c r="EB178" s="18"/>
      <c r="EC178" s="18"/>
      <c r="ED178" s="18"/>
      <c r="EE178" s="18"/>
      <c r="EF178" s="18"/>
      <c r="EG178" s="18"/>
      <c r="EH178" s="18"/>
      <c r="EI178" s="18"/>
      <c r="EJ178" s="18"/>
      <c r="EK178" s="18"/>
      <c r="EL178" s="18"/>
      <c r="EM178" s="18"/>
      <c r="EN178" s="18"/>
      <c r="EO178" s="18"/>
      <c r="EP178" s="18"/>
      <c r="EQ178" s="18"/>
      <c r="ER178" s="18"/>
      <c r="ES178" s="18"/>
      <c r="ET178" s="18"/>
      <c r="EU178" s="18"/>
      <c r="EV178" s="18"/>
      <c r="EW178" s="18"/>
      <c r="EX178" s="18"/>
      <c r="EY178" s="18"/>
      <c r="EZ178" s="18"/>
      <c r="FA178" s="18"/>
      <c r="FB178" s="18"/>
      <c r="FC178" s="18"/>
      <c r="FD178" s="18"/>
      <c r="FE178" s="18"/>
      <c r="FF178" s="18"/>
      <c r="FG178" s="18"/>
      <c r="FH178" s="18"/>
      <c r="FI178" s="18"/>
      <c r="FJ178" s="18"/>
      <c r="FK178" s="18"/>
      <c r="FL178" s="18"/>
      <c r="FM178" s="18"/>
      <c r="FN178" s="18"/>
      <c r="FO178" s="18"/>
      <c r="FP178" s="18"/>
      <c r="FQ178" s="18"/>
      <c r="FR178" s="18"/>
      <c r="FS178" s="18"/>
      <c r="FT178" s="18"/>
      <c r="FU178" s="18"/>
      <c r="FV178" s="18"/>
      <c r="FW178" s="18"/>
      <c r="FX178" s="18"/>
      <c r="FY178" s="18"/>
      <c r="FZ178" s="18"/>
      <c r="GA178" s="18"/>
      <c r="GB178" s="18"/>
      <c r="GC178" s="18"/>
      <c r="GD178" s="18"/>
      <c r="GE178" s="18"/>
      <c r="GF178" s="18"/>
      <c r="GG178" s="18"/>
      <c r="GH178" s="18"/>
      <c r="GI178" s="18"/>
      <c r="GJ178" s="18"/>
      <c r="GK178" s="18"/>
      <c r="GL178" s="18"/>
      <c r="GM178" s="18"/>
      <c r="GN178" s="18"/>
      <c r="GO178" s="18"/>
      <c r="GP178" s="18"/>
      <c r="GQ178" s="18"/>
      <c r="GR178" s="18"/>
      <c r="GS178" s="18"/>
      <c r="GT178" s="18"/>
      <c r="GU178" s="18"/>
      <c r="GV178" s="18"/>
      <c r="GW178" s="18"/>
      <c r="GX178" s="18"/>
      <c r="GY178" s="18"/>
      <c r="GZ178" s="18"/>
      <c r="HA178" s="18"/>
      <c r="HB178" s="18"/>
      <c r="HC178" s="18"/>
      <c r="HD178" s="18"/>
      <c r="HE178" s="18"/>
      <c r="HF178" s="18"/>
      <c r="HG178" s="18"/>
      <c r="HH178" s="18"/>
      <c r="HI178" s="18"/>
      <c r="HJ178" s="18"/>
      <c r="HK178" s="18"/>
      <c r="HL178" s="18"/>
      <c r="HM178" s="18"/>
      <c r="HN178" s="18"/>
      <c r="HO178" s="18"/>
      <c r="HP178" s="18"/>
      <c r="HQ178" s="18"/>
      <c r="HR178" s="18"/>
      <c r="HS178" s="18"/>
      <c r="HT178" s="18"/>
      <c r="HU178" s="18"/>
      <c r="HV178" s="18"/>
      <c r="HW178" s="18"/>
      <c r="HX178" s="18"/>
      <c r="HY178" s="18"/>
      <c r="HZ178" s="18"/>
      <c r="IA178" s="18"/>
      <c r="IB178" s="18"/>
      <c r="IC178" s="18"/>
      <c r="ID178" s="18"/>
      <c r="IE178" s="18"/>
      <c r="IF178" s="18"/>
      <c r="IG178" s="18"/>
      <c r="IH178" s="18"/>
      <c r="II178" s="18"/>
      <c r="IJ178" s="18"/>
      <c r="IK178" s="18"/>
      <c r="IL178" s="18"/>
      <c r="IM178" s="18"/>
      <c r="IN178" s="18"/>
      <c r="IO178" s="18"/>
      <c r="IP178" s="18"/>
      <c r="IQ178" s="18"/>
      <c r="IR178" s="18"/>
      <c r="IS178" s="18"/>
      <c r="IT178" s="18"/>
      <c r="IU178" s="18"/>
      <c r="IV178" s="18"/>
      <c r="IW178" s="18"/>
      <c r="IX178" s="18"/>
      <c r="IY178" s="18"/>
      <c r="IZ178" s="18"/>
      <c r="JA178" s="18"/>
      <c r="JB178" s="18"/>
      <c r="JC178" s="18"/>
      <c r="JD178" s="18"/>
      <c r="JE178" s="18"/>
      <c r="JF178" s="18"/>
      <c r="JG178" s="18"/>
      <c r="JH178" s="18"/>
      <c r="JI178" s="18"/>
      <c r="JJ178" s="18"/>
    </row>
    <row r="179" spans="1:270" ht="15.75" customHeight="1">
      <c r="A179" s="87"/>
      <c r="B179" s="88"/>
      <c r="C179" s="87"/>
      <c r="D179" s="87"/>
      <c r="E179" s="87"/>
      <c r="F179" s="87"/>
      <c r="G179" s="87"/>
      <c r="H179" s="88"/>
      <c r="I179" s="44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  <c r="DC179" s="18"/>
      <c r="DD179" s="18"/>
      <c r="DE179" s="18"/>
      <c r="DF179" s="18"/>
      <c r="DG179" s="18"/>
      <c r="DH179" s="18"/>
      <c r="DI179" s="18"/>
      <c r="DJ179" s="18"/>
      <c r="DK179" s="18"/>
      <c r="DL179" s="18"/>
      <c r="DM179" s="18"/>
      <c r="DN179" s="18"/>
      <c r="DO179" s="18"/>
      <c r="DP179" s="18"/>
      <c r="DQ179" s="18"/>
      <c r="DR179" s="18"/>
      <c r="DS179" s="18"/>
      <c r="DT179" s="18"/>
      <c r="DU179" s="18"/>
      <c r="DV179" s="18"/>
      <c r="DW179" s="18"/>
      <c r="DX179" s="18"/>
      <c r="DY179" s="18"/>
      <c r="DZ179" s="18"/>
      <c r="EA179" s="18"/>
      <c r="EB179" s="18"/>
      <c r="EC179" s="18"/>
      <c r="ED179" s="18"/>
      <c r="EE179" s="18"/>
      <c r="EF179" s="18"/>
      <c r="EG179" s="18"/>
      <c r="EH179" s="18"/>
      <c r="EI179" s="18"/>
      <c r="EJ179" s="18"/>
      <c r="EK179" s="18"/>
      <c r="EL179" s="18"/>
      <c r="EM179" s="18"/>
      <c r="EN179" s="18"/>
      <c r="EO179" s="18"/>
      <c r="EP179" s="18"/>
      <c r="EQ179" s="18"/>
      <c r="ER179" s="18"/>
      <c r="ES179" s="18"/>
      <c r="ET179" s="18"/>
      <c r="EU179" s="18"/>
      <c r="EV179" s="18"/>
      <c r="EW179" s="18"/>
      <c r="EX179" s="18"/>
      <c r="EY179" s="18"/>
      <c r="EZ179" s="18"/>
      <c r="FA179" s="18"/>
      <c r="FB179" s="18"/>
      <c r="FC179" s="18"/>
      <c r="FD179" s="18"/>
      <c r="FE179" s="18"/>
      <c r="FF179" s="18"/>
      <c r="FG179" s="18"/>
      <c r="FH179" s="18"/>
      <c r="FI179" s="18"/>
      <c r="FJ179" s="18"/>
      <c r="FK179" s="18"/>
      <c r="FL179" s="18"/>
      <c r="FM179" s="18"/>
      <c r="FN179" s="18"/>
      <c r="FO179" s="18"/>
      <c r="FP179" s="18"/>
      <c r="FQ179" s="18"/>
      <c r="FR179" s="18"/>
      <c r="FS179" s="18"/>
      <c r="FT179" s="18"/>
      <c r="FU179" s="18"/>
      <c r="FV179" s="18"/>
      <c r="FW179" s="18"/>
      <c r="FX179" s="18"/>
      <c r="FY179" s="18"/>
      <c r="FZ179" s="18"/>
      <c r="GA179" s="18"/>
      <c r="GB179" s="18"/>
      <c r="GC179" s="18"/>
      <c r="GD179" s="18"/>
      <c r="GE179" s="18"/>
      <c r="GF179" s="18"/>
      <c r="GG179" s="18"/>
      <c r="GH179" s="18"/>
      <c r="GI179" s="18"/>
      <c r="GJ179" s="18"/>
      <c r="GK179" s="18"/>
      <c r="GL179" s="18"/>
      <c r="GM179" s="18"/>
      <c r="GN179" s="18"/>
      <c r="GO179" s="18"/>
      <c r="GP179" s="18"/>
      <c r="GQ179" s="18"/>
      <c r="GR179" s="18"/>
      <c r="GS179" s="18"/>
      <c r="GT179" s="18"/>
      <c r="GU179" s="18"/>
      <c r="GV179" s="18"/>
      <c r="GW179" s="18"/>
      <c r="GX179" s="18"/>
      <c r="GY179" s="18"/>
      <c r="GZ179" s="18"/>
      <c r="HA179" s="18"/>
      <c r="HB179" s="18"/>
      <c r="HC179" s="18"/>
      <c r="HD179" s="18"/>
      <c r="HE179" s="18"/>
      <c r="HF179" s="18"/>
      <c r="HG179" s="18"/>
      <c r="HH179" s="18"/>
      <c r="HI179" s="18"/>
      <c r="HJ179" s="18"/>
      <c r="HK179" s="18"/>
      <c r="HL179" s="18"/>
      <c r="HM179" s="18"/>
      <c r="HN179" s="18"/>
      <c r="HO179" s="18"/>
      <c r="HP179" s="18"/>
      <c r="HQ179" s="18"/>
      <c r="HR179" s="18"/>
      <c r="HS179" s="18"/>
      <c r="HT179" s="18"/>
      <c r="HU179" s="18"/>
      <c r="HV179" s="18"/>
      <c r="HW179" s="18"/>
      <c r="HX179" s="18"/>
      <c r="HY179" s="18"/>
      <c r="HZ179" s="18"/>
      <c r="IA179" s="18"/>
      <c r="IB179" s="18"/>
      <c r="IC179" s="18"/>
      <c r="ID179" s="18"/>
      <c r="IE179" s="18"/>
      <c r="IF179" s="18"/>
      <c r="IG179" s="18"/>
      <c r="IH179" s="18"/>
      <c r="II179" s="18"/>
      <c r="IJ179" s="18"/>
      <c r="IK179" s="18"/>
      <c r="IL179" s="18"/>
      <c r="IM179" s="18"/>
      <c r="IN179" s="18"/>
      <c r="IO179" s="18"/>
      <c r="IP179" s="18"/>
      <c r="IQ179" s="18"/>
      <c r="IR179" s="18"/>
      <c r="IS179" s="18"/>
      <c r="IT179" s="18"/>
      <c r="IU179" s="18"/>
      <c r="IV179" s="18"/>
      <c r="IW179" s="18"/>
      <c r="IX179" s="18"/>
      <c r="IY179" s="18"/>
      <c r="IZ179" s="18"/>
      <c r="JA179" s="18"/>
      <c r="JB179" s="18"/>
      <c r="JC179" s="18"/>
      <c r="JD179" s="18"/>
      <c r="JE179" s="18"/>
      <c r="JF179" s="18"/>
      <c r="JG179" s="18"/>
      <c r="JH179" s="18"/>
      <c r="JI179" s="18"/>
      <c r="JJ179" s="18"/>
    </row>
    <row r="180" spans="1:270" ht="15.75" customHeight="1">
      <c r="A180" s="87"/>
      <c r="B180" s="88"/>
      <c r="C180" s="87"/>
      <c r="D180" s="87"/>
      <c r="E180" s="87"/>
      <c r="F180" s="87"/>
      <c r="G180" s="87"/>
      <c r="H180" s="88"/>
      <c r="I180" s="90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  <c r="DC180" s="18"/>
      <c r="DD180" s="18"/>
      <c r="DE180" s="18"/>
      <c r="DF180" s="18"/>
      <c r="DG180" s="18"/>
      <c r="DH180" s="18"/>
      <c r="DI180" s="18"/>
      <c r="DJ180" s="18"/>
      <c r="DK180" s="18"/>
      <c r="DL180" s="18"/>
      <c r="DM180" s="18"/>
      <c r="DN180" s="18"/>
      <c r="DO180" s="18"/>
      <c r="DP180" s="18"/>
      <c r="DQ180" s="18"/>
      <c r="DR180" s="18"/>
      <c r="DS180" s="18"/>
      <c r="DT180" s="18"/>
      <c r="DU180" s="18"/>
      <c r="DV180" s="18"/>
      <c r="DW180" s="18"/>
      <c r="DX180" s="18"/>
      <c r="DY180" s="18"/>
      <c r="DZ180" s="18"/>
      <c r="EA180" s="18"/>
      <c r="EB180" s="18"/>
      <c r="EC180" s="18"/>
      <c r="ED180" s="18"/>
      <c r="EE180" s="18"/>
      <c r="EF180" s="18"/>
      <c r="EG180" s="18"/>
      <c r="EH180" s="18"/>
      <c r="EI180" s="18"/>
      <c r="EJ180" s="18"/>
      <c r="EK180" s="18"/>
      <c r="EL180" s="18"/>
      <c r="EM180" s="18"/>
      <c r="EN180" s="18"/>
      <c r="EO180" s="18"/>
      <c r="EP180" s="18"/>
      <c r="EQ180" s="18"/>
      <c r="ER180" s="18"/>
      <c r="ES180" s="18"/>
      <c r="ET180" s="18"/>
      <c r="EU180" s="18"/>
      <c r="EV180" s="18"/>
      <c r="EW180" s="18"/>
      <c r="EX180" s="18"/>
      <c r="EY180" s="18"/>
      <c r="EZ180" s="18"/>
      <c r="FA180" s="18"/>
      <c r="FB180" s="18"/>
      <c r="FC180" s="18"/>
      <c r="FD180" s="18"/>
      <c r="FE180" s="18"/>
      <c r="FF180" s="18"/>
      <c r="FG180" s="18"/>
      <c r="FH180" s="18"/>
      <c r="FI180" s="18"/>
      <c r="FJ180" s="18"/>
      <c r="FK180" s="18"/>
      <c r="FL180" s="18"/>
      <c r="FM180" s="18"/>
      <c r="FN180" s="18"/>
      <c r="FO180" s="18"/>
      <c r="FP180" s="18"/>
      <c r="FQ180" s="18"/>
      <c r="FR180" s="18"/>
      <c r="FS180" s="18"/>
      <c r="FT180" s="18"/>
      <c r="FU180" s="18"/>
      <c r="FV180" s="18"/>
      <c r="FW180" s="18"/>
      <c r="FX180" s="18"/>
      <c r="FY180" s="18"/>
      <c r="FZ180" s="18"/>
      <c r="GA180" s="18"/>
      <c r="GB180" s="18"/>
      <c r="GC180" s="18"/>
      <c r="GD180" s="18"/>
      <c r="GE180" s="18"/>
      <c r="GF180" s="18"/>
      <c r="GG180" s="18"/>
      <c r="GH180" s="18"/>
      <c r="GI180" s="18"/>
      <c r="GJ180" s="18"/>
      <c r="GK180" s="18"/>
      <c r="GL180" s="18"/>
      <c r="GM180" s="18"/>
      <c r="GN180" s="18"/>
      <c r="GO180" s="18"/>
      <c r="GP180" s="18"/>
      <c r="GQ180" s="18"/>
      <c r="GR180" s="18"/>
      <c r="GS180" s="18"/>
      <c r="GT180" s="18"/>
      <c r="GU180" s="18"/>
      <c r="GV180" s="18"/>
      <c r="GW180" s="18"/>
      <c r="GX180" s="18"/>
      <c r="GY180" s="18"/>
      <c r="GZ180" s="18"/>
      <c r="HA180" s="18"/>
      <c r="HB180" s="18"/>
      <c r="HC180" s="18"/>
      <c r="HD180" s="18"/>
      <c r="HE180" s="18"/>
      <c r="HF180" s="18"/>
      <c r="HG180" s="18"/>
      <c r="HH180" s="18"/>
      <c r="HI180" s="18"/>
      <c r="HJ180" s="18"/>
      <c r="HK180" s="18"/>
      <c r="HL180" s="18"/>
      <c r="HM180" s="18"/>
      <c r="HN180" s="18"/>
      <c r="HO180" s="18"/>
      <c r="HP180" s="18"/>
      <c r="HQ180" s="18"/>
      <c r="HR180" s="18"/>
      <c r="HS180" s="18"/>
      <c r="HT180" s="18"/>
      <c r="HU180" s="18"/>
      <c r="HV180" s="18"/>
      <c r="HW180" s="18"/>
      <c r="HX180" s="18"/>
      <c r="HY180" s="18"/>
      <c r="HZ180" s="18"/>
      <c r="IA180" s="18"/>
      <c r="IB180" s="18"/>
      <c r="IC180" s="18"/>
      <c r="ID180" s="18"/>
      <c r="IE180" s="18"/>
      <c r="IF180" s="18"/>
      <c r="IG180" s="18"/>
      <c r="IH180" s="18"/>
      <c r="II180" s="18"/>
      <c r="IJ180" s="18"/>
      <c r="IK180" s="18"/>
      <c r="IL180" s="18"/>
      <c r="IM180" s="18"/>
      <c r="IN180" s="18"/>
      <c r="IO180" s="18"/>
      <c r="IP180" s="18"/>
      <c r="IQ180" s="18"/>
      <c r="IR180" s="18"/>
      <c r="IS180" s="18"/>
      <c r="IT180" s="18"/>
      <c r="IU180" s="18"/>
      <c r="IV180" s="18"/>
      <c r="IW180" s="18"/>
      <c r="IX180" s="18"/>
      <c r="IY180" s="18"/>
      <c r="IZ180" s="18"/>
      <c r="JA180" s="18"/>
      <c r="JB180" s="18"/>
      <c r="JC180" s="18"/>
      <c r="JD180" s="18"/>
      <c r="JE180" s="18"/>
      <c r="JF180" s="18"/>
      <c r="JG180" s="18"/>
      <c r="JH180" s="18"/>
      <c r="JI180" s="18"/>
      <c r="JJ180" s="18"/>
    </row>
    <row r="181" spans="1:270" ht="15.75" customHeight="1">
      <c r="A181" s="87"/>
      <c r="B181" s="88"/>
      <c r="C181" s="87"/>
      <c r="D181" s="87"/>
      <c r="E181" s="87"/>
      <c r="F181" s="87"/>
      <c r="G181" s="87"/>
      <c r="H181" s="88"/>
      <c r="I181" s="44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  <c r="DC181" s="18"/>
      <c r="DD181" s="18"/>
      <c r="DE181" s="18"/>
      <c r="DF181" s="18"/>
      <c r="DG181" s="18"/>
      <c r="DH181" s="18"/>
      <c r="DI181" s="18"/>
      <c r="DJ181" s="18"/>
      <c r="DK181" s="18"/>
      <c r="DL181" s="18"/>
      <c r="DM181" s="18"/>
      <c r="DN181" s="18"/>
      <c r="DO181" s="18"/>
      <c r="DP181" s="18"/>
      <c r="DQ181" s="18"/>
      <c r="DR181" s="18"/>
      <c r="DS181" s="18"/>
      <c r="DT181" s="18"/>
      <c r="DU181" s="18"/>
      <c r="DV181" s="18"/>
      <c r="DW181" s="18"/>
      <c r="DX181" s="18"/>
      <c r="DY181" s="18"/>
      <c r="DZ181" s="18"/>
      <c r="EA181" s="18"/>
      <c r="EB181" s="18"/>
      <c r="EC181" s="18"/>
      <c r="ED181" s="18"/>
      <c r="EE181" s="18"/>
      <c r="EF181" s="18"/>
      <c r="EG181" s="18"/>
      <c r="EH181" s="18"/>
      <c r="EI181" s="18"/>
      <c r="EJ181" s="18"/>
      <c r="EK181" s="18"/>
      <c r="EL181" s="18"/>
      <c r="EM181" s="18"/>
      <c r="EN181" s="18"/>
      <c r="EO181" s="18"/>
      <c r="EP181" s="18"/>
      <c r="EQ181" s="18"/>
      <c r="ER181" s="18"/>
      <c r="ES181" s="18"/>
      <c r="ET181" s="18"/>
      <c r="EU181" s="18"/>
      <c r="EV181" s="18"/>
      <c r="EW181" s="18"/>
      <c r="EX181" s="18"/>
      <c r="EY181" s="18"/>
      <c r="EZ181" s="18"/>
      <c r="FA181" s="18"/>
      <c r="FB181" s="18"/>
      <c r="FC181" s="18"/>
      <c r="FD181" s="18"/>
      <c r="FE181" s="18"/>
      <c r="FF181" s="18"/>
      <c r="FG181" s="18"/>
      <c r="FH181" s="18"/>
      <c r="FI181" s="18"/>
      <c r="FJ181" s="18"/>
      <c r="FK181" s="18"/>
      <c r="FL181" s="18"/>
      <c r="FM181" s="18"/>
      <c r="FN181" s="18"/>
      <c r="FO181" s="18"/>
      <c r="FP181" s="18"/>
      <c r="FQ181" s="18"/>
      <c r="FR181" s="18"/>
      <c r="FS181" s="18"/>
      <c r="FT181" s="18"/>
      <c r="FU181" s="18"/>
      <c r="FV181" s="18"/>
      <c r="FW181" s="18"/>
      <c r="FX181" s="18"/>
      <c r="FY181" s="18"/>
      <c r="FZ181" s="18"/>
      <c r="GA181" s="18"/>
      <c r="GB181" s="18"/>
      <c r="GC181" s="18"/>
      <c r="GD181" s="18"/>
      <c r="GE181" s="18"/>
      <c r="GF181" s="18"/>
      <c r="GG181" s="18"/>
      <c r="GH181" s="18"/>
      <c r="GI181" s="18"/>
      <c r="GJ181" s="18"/>
      <c r="GK181" s="18"/>
      <c r="GL181" s="18"/>
      <c r="GM181" s="18"/>
      <c r="GN181" s="18"/>
      <c r="GO181" s="18"/>
      <c r="GP181" s="18"/>
      <c r="GQ181" s="18"/>
      <c r="GR181" s="18"/>
      <c r="GS181" s="18"/>
      <c r="GT181" s="18"/>
      <c r="GU181" s="18"/>
      <c r="GV181" s="18"/>
      <c r="GW181" s="18"/>
      <c r="GX181" s="18"/>
      <c r="GY181" s="18"/>
      <c r="GZ181" s="18"/>
      <c r="HA181" s="18"/>
      <c r="HB181" s="18"/>
      <c r="HC181" s="18"/>
      <c r="HD181" s="18"/>
      <c r="HE181" s="18"/>
      <c r="HF181" s="18"/>
      <c r="HG181" s="18"/>
      <c r="HH181" s="18"/>
      <c r="HI181" s="18"/>
      <c r="HJ181" s="18"/>
      <c r="HK181" s="18"/>
      <c r="HL181" s="18"/>
      <c r="HM181" s="18"/>
      <c r="HN181" s="18"/>
      <c r="HO181" s="18"/>
      <c r="HP181" s="18"/>
      <c r="HQ181" s="18"/>
      <c r="HR181" s="18"/>
      <c r="HS181" s="18"/>
      <c r="HT181" s="18"/>
      <c r="HU181" s="18"/>
      <c r="HV181" s="18"/>
      <c r="HW181" s="18"/>
      <c r="HX181" s="18"/>
      <c r="HY181" s="18"/>
      <c r="HZ181" s="18"/>
      <c r="IA181" s="18"/>
      <c r="IB181" s="18"/>
      <c r="IC181" s="18"/>
      <c r="ID181" s="18"/>
      <c r="IE181" s="18"/>
      <c r="IF181" s="18"/>
      <c r="IG181" s="18"/>
      <c r="IH181" s="18"/>
      <c r="II181" s="18"/>
      <c r="IJ181" s="18"/>
      <c r="IK181" s="18"/>
      <c r="IL181" s="18"/>
      <c r="IM181" s="18"/>
      <c r="IN181" s="18"/>
      <c r="IO181" s="18"/>
      <c r="IP181" s="18"/>
      <c r="IQ181" s="18"/>
      <c r="IR181" s="18"/>
      <c r="IS181" s="18"/>
      <c r="IT181" s="18"/>
      <c r="IU181" s="18"/>
      <c r="IV181" s="18"/>
      <c r="IW181" s="18"/>
      <c r="IX181" s="18"/>
      <c r="IY181" s="18"/>
      <c r="IZ181" s="18"/>
      <c r="JA181" s="18"/>
      <c r="JB181" s="18"/>
      <c r="JC181" s="18"/>
      <c r="JD181" s="18"/>
      <c r="JE181" s="18"/>
      <c r="JF181" s="18"/>
      <c r="JG181" s="18"/>
      <c r="JH181" s="18"/>
      <c r="JI181" s="18"/>
      <c r="JJ181" s="18"/>
    </row>
    <row r="182" spans="1:270" ht="15.75" customHeight="1">
      <c r="A182" s="87"/>
      <c r="B182" s="88"/>
      <c r="C182" s="87"/>
      <c r="D182" s="87"/>
      <c r="E182" s="87"/>
      <c r="F182" s="87"/>
      <c r="G182" s="87"/>
      <c r="H182" s="88"/>
      <c r="I182" s="4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</row>
    <row r="183" spans="1:270" ht="15.75" customHeight="1">
      <c r="A183" s="87"/>
      <c r="B183" s="88"/>
      <c r="C183" s="87"/>
      <c r="D183" s="87"/>
      <c r="E183" s="87"/>
      <c r="F183" s="87"/>
      <c r="G183" s="87"/>
      <c r="H183" s="88"/>
      <c r="I183" s="4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</row>
    <row r="184" spans="1:270" ht="15.75" customHeight="1">
      <c r="A184" s="1"/>
      <c r="B184" s="2"/>
      <c r="C184" s="1"/>
      <c r="D184" s="1"/>
      <c r="E184" s="1"/>
      <c r="F184" s="1"/>
      <c r="G184" s="1"/>
      <c r="H184" s="2"/>
      <c r="I184" s="4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</row>
    <row r="185" spans="1:270" ht="15.75" customHeight="1">
      <c r="A185" s="18"/>
      <c r="B185" s="26"/>
      <c r="C185" s="18"/>
      <c r="D185" s="18"/>
      <c r="E185" s="18"/>
      <c r="F185" s="18"/>
      <c r="G185" s="18"/>
      <c r="H185" s="26"/>
      <c r="I185" s="8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</row>
    <row r="186" spans="1:270" ht="15.75" customHeight="1">
      <c r="A186" s="44"/>
      <c r="B186" s="26"/>
      <c r="C186" s="44"/>
      <c r="D186" s="44"/>
      <c r="E186" s="44"/>
      <c r="F186" s="44"/>
      <c r="G186" s="44"/>
      <c r="H186" s="26"/>
      <c r="I186" s="8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</row>
    <row r="187" spans="1:270" ht="15.75" customHeight="1">
      <c r="A187" s="89"/>
      <c r="B187" s="116"/>
      <c r="C187" s="116"/>
      <c r="D187" s="116"/>
      <c r="E187" s="116"/>
      <c r="F187" s="116"/>
      <c r="G187" s="116"/>
      <c r="H187" s="116"/>
      <c r="I187" s="8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</row>
    <row r="188" spans="1:270" ht="15.75" customHeight="1">
      <c r="A188" s="89"/>
      <c r="B188" s="26"/>
      <c r="C188" s="44"/>
      <c r="D188" s="44"/>
      <c r="E188" s="44"/>
      <c r="F188" s="44"/>
      <c r="G188" s="44"/>
      <c r="H188" s="26"/>
      <c r="I188" s="8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</row>
    <row r="189" spans="1:270" ht="15.75" customHeight="1">
      <c r="A189" s="89"/>
      <c r="B189" s="26"/>
      <c r="C189" s="44"/>
      <c r="D189" s="44"/>
      <c r="E189" s="44"/>
      <c r="F189" s="44"/>
      <c r="G189" s="44"/>
      <c r="H189" s="26"/>
      <c r="I189" s="8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</row>
    <row r="190" spans="1:270" ht="15.75" customHeight="1">
      <c r="A190" s="89"/>
      <c r="B190" s="26"/>
      <c r="C190" s="44"/>
      <c r="D190" s="44"/>
      <c r="E190" s="44"/>
      <c r="F190" s="44"/>
      <c r="G190" s="44"/>
      <c r="H190" s="26"/>
      <c r="I190" s="8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</row>
    <row r="191" spans="1:270" ht="15.75" customHeight="1">
      <c r="A191" s="89"/>
      <c r="B191" s="117"/>
      <c r="C191" s="117"/>
      <c r="D191" s="44"/>
      <c r="E191" s="44"/>
      <c r="F191" s="44"/>
      <c r="G191" s="44"/>
      <c r="H191" s="26"/>
      <c r="I191" s="8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</row>
    <row r="192" spans="1:270" ht="15.75" customHeight="1">
      <c r="A192" s="84"/>
      <c r="B192" s="85"/>
      <c r="C192" s="86"/>
      <c r="D192" s="86"/>
      <c r="E192" s="86"/>
      <c r="F192" s="86"/>
      <c r="G192" s="86"/>
      <c r="H192" s="85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  <c r="AM192" s="77"/>
      <c r="AN192" s="77"/>
      <c r="AO192" s="77"/>
      <c r="AP192" s="77"/>
      <c r="AQ192" s="77"/>
      <c r="AR192" s="77"/>
      <c r="AS192" s="77"/>
      <c r="AT192" s="77"/>
      <c r="AU192" s="77"/>
      <c r="AV192" s="77"/>
      <c r="AW192" s="77"/>
      <c r="AX192" s="77"/>
      <c r="AY192" s="77"/>
      <c r="AZ192" s="77"/>
      <c r="BA192" s="77"/>
      <c r="BB192" s="77"/>
      <c r="BC192" s="77"/>
      <c r="BD192" s="77"/>
      <c r="BE192" s="77"/>
      <c r="BF192" s="77"/>
      <c r="BG192" s="77"/>
      <c r="BH192" s="77"/>
      <c r="BI192" s="77"/>
      <c r="BJ192" s="77"/>
      <c r="BK192" s="77"/>
      <c r="BL192" s="77"/>
      <c r="BM192" s="77"/>
      <c r="BN192" s="77"/>
      <c r="BO192" s="77"/>
      <c r="BP192" s="77"/>
      <c r="BQ192" s="77"/>
      <c r="BR192" s="77"/>
      <c r="BS192" s="77"/>
      <c r="BT192" s="77"/>
      <c r="BU192" s="77"/>
      <c r="BV192" s="77"/>
      <c r="BW192" s="77"/>
      <c r="BX192" s="77"/>
      <c r="BY192" s="77"/>
      <c r="BZ192" s="77"/>
      <c r="CA192" s="77"/>
      <c r="CB192" s="77"/>
      <c r="CC192" s="77"/>
      <c r="CD192" s="77"/>
      <c r="CE192" s="77"/>
      <c r="CF192" s="77"/>
      <c r="CG192" s="77"/>
      <c r="CH192" s="77"/>
      <c r="CI192" s="77"/>
      <c r="CJ192" s="77"/>
      <c r="CK192" s="77"/>
      <c r="CL192" s="77"/>
      <c r="CM192" s="77"/>
      <c r="CN192" s="77"/>
      <c r="CO192" s="77"/>
      <c r="CP192" s="77"/>
      <c r="CQ192" s="77"/>
      <c r="CR192" s="77"/>
      <c r="CS192" s="77"/>
      <c r="CT192" s="77"/>
      <c r="CU192" s="77"/>
      <c r="CV192" s="77"/>
      <c r="CW192" s="77"/>
      <c r="CX192" s="77"/>
      <c r="CY192" s="77"/>
      <c r="CZ192" s="77"/>
      <c r="DA192" s="77"/>
      <c r="DB192" s="77"/>
      <c r="DC192" s="77"/>
      <c r="DD192" s="77"/>
      <c r="DE192" s="77"/>
      <c r="DF192" s="77"/>
      <c r="DG192" s="77"/>
      <c r="DH192" s="77"/>
      <c r="DI192" s="77"/>
      <c r="DJ192" s="77"/>
      <c r="DK192" s="77"/>
      <c r="DL192" s="77"/>
      <c r="DM192" s="77"/>
      <c r="DN192" s="77"/>
      <c r="DO192" s="77"/>
      <c r="DP192" s="77"/>
      <c r="DQ192" s="77"/>
      <c r="DR192" s="77"/>
      <c r="DS192" s="77"/>
      <c r="DT192" s="77"/>
      <c r="DU192" s="77"/>
      <c r="DV192" s="77"/>
      <c r="DW192" s="77"/>
      <c r="DX192" s="77"/>
      <c r="DY192" s="77"/>
      <c r="DZ192" s="77"/>
      <c r="EA192" s="77"/>
      <c r="EB192" s="77"/>
      <c r="EC192" s="77"/>
      <c r="ED192" s="77"/>
      <c r="EE192" s="77"/>
      <c r="EF192" s="77"/>
      <c r="EG192" s="77"/>
      <c r="EH192" s="77"/>
      <c r="EI192" s="77"/>
      <c r="EJ192" s="77"/>
      <c r="EK192" s="77"/>
      <c r="EL192" s="77"/>
      <c r="EM192" s="77"/>
      <c r="EN192" s="77"/>
      <c r="EO192" s="77"/>
      <c r="EP192" s="77"/>
      <c r="EQ192" s="77"/>
      <c r="ER192" s="77"/>
      <c r="ES192" s="77"/>
      <c r="ET192" s="77"/>
      <c r="EU192" s="77"/>
      <c r="EV192" s="77"/>
      <c r="EW192" s="77"/>
      <c r="EX192" s="77"/>
      <c r="EY192" s="77"/>
      <c r="EZ192" s="77"/>
      <c r="FA192" s="77"/>
      <c r="FB192" s="77"/>
      <c r="FC192" s="77"/>
      <c r="FD192" s="77"/>
      <c r="FE192" s="77"/>
      <c r="FF192" s="77"/>
      <c r="FG192" s="77"/>
      <c r="FH192" s="77"/>
      <c r="FI192" s="77"/>
      <c r="FJ192" s="77"/>
      <c r="FK192" s="77"/>
      <c r="FL192" s="77"/>
      <c r="FM192" s="77"/>
      <c r="FN192" s="77"/>
      <c r="FO192" s="77"/>
      <c r="FP192" s="77"/>
      <c r="FQ192" s="77"/>
      <c r="FR192" s="77"/>
      <c r="FS192" s="77"/>
      <c r="FT192" s="77"/>
      <c r="FU192" s="77"/>
      <c r="FV192" s="77"/>
      <c r="FW192" s="77"/>
      <c r="FX192" s="77"/>
      <c r="FY192" s="77"/>
      <c r="FZ192" s="77"/>
      <c r="GA192" s="77"/>
      <c r="GB192" s="77"/>
      <c r="GC192" s="77"/>
      <c r="GD192" s="77"/>
      <c r="GE192" s="77"/>
      <c r="GF192" s="77"/>
      <c r="GG192" s="77"/>
      <c r="GH192" s="77"/>
      <c r="GI192" s="77"/>
      <c r="GJ192" s="77"/>
      <c r="GK192" s="77"/>
      <c r="GL192" s="77"/>
      <c r="GM192" s="77"/>
      <c r="GN192" s="77"/>
      <c r="GO192" s="77"/>
      <c r="GP192" s="77"/>
      <c r="GQ192" s="77"/>
      <c r="GR192" s="77"/>
      <c r="GS192" s="77"/>
      <c r="GT192" s="77"/>
      <c r="GU192" s="77"/>
      <c r="GV192" s="77"/>
      <c r="GW192" s="77"/>
      <c r="GX192" s="77"/>
      <c r="GY192" s="77"/>
      <c r="GZ192" s="77"/>
      <c r="HA192" s="77"/>
      <c r="HB192" s="77"/>
      <c r="HC192" s="77"/>
      <c r="HD192" s="77"/>
      <c r="HE192" s="77"/>
      <c r="HF192" s="77"/>
      <c r="HG192" s="77"/>
      <c r="HH192" s="77"/>
      <c r="HI192" s="77"/>
      <c r="HJ192" s="77"/>
      <c r="HK192" s="77"/>
      <c r="HL192" s="77"/>
      <c r="HM192" s="77"/>
      <c r="HN192" s="77"/>
      <c r="HO192" s="77"/>
      <c r="HP192" s="77"/>
      <c r="HQ192" s="77"/>
      <c r="HR192" s="77"/>
      <c r="HS192" s="77"/>
      <c r="HT192" s="77"/>
      <c r="HU192" s="77"/>
      <c r="HV192" s="77"/>
      <c r="HW192" s="77"/>
      <c r="HX192" s="77"/>
      <c r="HY192" s="77"/>
      <c r="HZ192" s="77"/>
      <c r="IA192" s="77"/>
      <c r="IB192" s="77"/>
      <c r="IC192" s="77"/>
      <c r="ID192" s="77"/>
      <c r="IE192" s="77"/>
      <c r="IF192" s="77"/>
      <c r="IG192" s="77"/>
      <c r="IH192" s="77"/>
      <c r="II192" s="77"/>
      <c r="IJ192" s="77"/>
      <c r="IK192" s="77"/>
      <c r="IL192" s="77"/>
      <c r="IM192" s="77"/>
      <c r="IN192" s="77"/>
      <c r="IO192" s="77"/>
      <c r="IP192" s="77"/>
      <c r="IQ192" s="77"/>
      <c r="IR192" s="77"/>
      <c r="IS192" s="77"/>
      <c r="IT192" s="77"/>
      <c r="IU192" s="77"/>
      <c r="IV192" s="77"/>
      <c r="IW192" s="77"/>
      <c r="IX192" s="77"/>
      <c r="IY192" s="77"/>
      <c r="IZ192" s="77"/>
      <c r="JA192" s="77"/>
      <c r="JB192" s="77"/>
      <c r="JC192" s="77"/>
      <c r="JD192" s="77"/>
      <c r="JE192" s="77"/>
      <c r="JF192" s="77"/>
      <c r="JG192" s="77"/>
      <c r="JH192" s="77"/>
      <c r="JI192" s="77"/>
      <c r="JJ192" s="77"/>
    </row>
    <row r="193" spans="1:270" ht="15.75" customHeight="1">
      <c r="A193" s="84"/>
      <c r="B193" s="85"/>
      <c r="C193" s="86"/>
      <c r="D193" s="86"/>
      <c r="E193" s="86"/>
      <c r="F193" s="86"/>
      <c r="G193" s="86"/>
      <c r="H193" s="85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 s="77"/>
      <c r="BH193" s="77"/>
      <c r="BI193" s="77"/>
      <c r="BJ193" s="77"/>
      <c r="BK193" s="77"/>
      <c r="BL193" s="77"/>
      <c r="BM193" s="77"/>
      <c r="BN193" s="77"/>
      <c r="BO193" s="77"/>
      <c r="BP193" s="77"/>
      <c r="BQ193" s="77"/>
      <c r="BR193" s="77"/>
      <c r="BS193" s="77"/>
      <c r="BT193" s="77"/>
      <c r="BU193" s="77"/>
      <c r="BV193" s="77"/>
      <c r="BW193" s="77"/>
      <c r="BX193" s="77"/>
      <c r="BY193" s="77"/>
      <c r="BZ193" s="77"/>
      <c r="CA193" s="77"/>
      <c r="CB193" s="77"/>
      <c r="CC193" s="77"/>
      <c r="CD193" s="77"/>
      <c r="CE193" s="77"/>
      <c r="CF193" s="77"/>
      <c r="CG193" s="77"/>
      <c r="CH193" s="77"/>
      <c r="CI193" s="77"/>
      <c r="CJ193" s="77"/>
      <c r="CK193" s="77"/>
      <c r="CL193" s="77"/>
      <c r="CM193" s="77"/>
      <c r="CN193" s="77"/>
      <c r="CO193" s="77"/>
      <c r="CP193" s="77"/>
      <c r="CQ193" s="77"/>
      <c r="CR193" s="77"/>
      <c r="CS193" s="77"/>
      <c r="CT193" s="77"/>
      <c r="CU193" s="77"/>
      <c r="CV193" s="77"/>
      <c r="CW193" s="77"/>
      <c r="CX193" s="77"/>
      <c r="CY193" s="77"/>
      <c r="CZ193" s="77"/>
      <c r="DA193" s="77"/>
      <c r="DB193" s="77"/>
      <c r="DC193" s="77"/>
      <c r="DD193" s="77"/>
      <c r="DE193" s="77"/>
      <c r="DF193" s="77"/>
      <c r="DG193" s="77"/>
      <c r="DH193" s="77"/>
      <c r="DI193" s="77"/>
      <c r="DJ193" s="77"/>
      <c r="DK193" s="77"/>
      <c r="DL193" s="77"/>
      <c r="DM193" s="77"/>
      <c r="DN193" s="77"/>
      <c r="DO193" s="77"/>
      <c r="DP193" s="77"/>
      <c r="DQ193" s="77"/>
      <c r="DR193" s="77"/>
      <c r="DS193" s="77"/>
      <c r="DT193" s="77"/>
      <c r="DU193" s="77"/>
      <c r="DV193" s="77"/>
      <c r="DW193" s="77"/>
      <c r="DX193" s="77"/>
      <c r="DY193" s="77"/>
      <c r="DZ193" s="77"/>
      <c r="EA193" s="77"/>
      <c r="EB193" s="77"/>
      <c r="EC193" s="77"/>
      <c r="ED193" s="77"/>
      <c r="EE193" s="77"/>
      <c r="EF193" s="77"/>
      <c r="EG193" s="77"/>
      <c r="EH193" s="77"/>
      <c r="EI193" s="77"/>
      <c r="EJ193" s="77"/>
      <c r="EK193" s="77"/>
      <c r="EL193" s="77"/>
      <c r="EM193" s="77"/>
      <c r="EN193" s="77"/>
      <c r="EO193" s="77"/>
      <c r="EP193" s="77"/>
      <c r="EQ193" s="77"/>
      <c r="ER193" s="77"/>
      <c r="ES193" s="77"/>
      <c r="ET193" s="77"/>
      <c r="EU193" s="77"/>
      <c r="EV193" s="77"/>
      <c r="EW193" s="77"/>
      <c r="EX193" s="77"/>
      <c r="EY193" s="77"/>
      <c r="EZ193" s="77"/>
      <c r="FA193" s="77"/>
      <c r="FB193" s="77"/>
      <c r="FC193" s="77"/>
      <c r="FD193" s="77"/>
      <c r="FE193" s="77"/>
      <c r="FF193" s="77"/>
      <c r="FG193" s="77"/>
      <c r="FH193" s="77"/>
      <c r="FI193" s="77"/>
      <c r="FJ193" s="77"/>
      <c r="FK193" s="77"/>
      <c r="FL193" s="77"/>
      <c r="FM193" s="77"/>
      <c r="FN193" s="77"/>
      <c r="FO193" s="77"/>
      <c r="FP193" s="77"/>
      <c r="FQ193" s="77"/>
      <c r="FR193" s="77"/>
      <c r="FS193" s="77"/>
      <c r="FT193" s="77"/>
      <c r="FU193" s="77"/>
      <c r="FV193" s="77"/>
      <c r="FW193" s="77"/>
      <c r="FX193" s="77"/>
      <c r="FY193" s="77"/>
      <c r="FZ193" s="77"/>
      <c r="GA193" s="77"/>
      <c r="GB193" s="77"/>
      <c r="GC193" s="77"/>
      <c r="GD193" s="77"/>
      <c r="GE193" s="77"/>
      <c r="GF193" s="77"/>
      <c r="GG193" s="77"/>
      <c r="GH193" s="77"/>
      <c r="GI193" s="77"/>
      <c r="GJ193" s="77"/>
      <c r="GK193" s="77"/>
      <c r="GL193" s="77"/>
      <c r="GM193" s="77"/>
      <c r="GN193" s="77"/>
      <c r="GO193" s="77"/>
      <c r="GP193" s="77"/>
      <c r="GQ193" s="77"/>
      <c r="GR193" s="77"/>
      <c r="GS193" s="77"/>
      <c r="GT193" s="77"/>
      <c r="GU193" s="77"/>
      <c r="GV193" s="77"/>
      <c r="GW193" s="77"/>
      <c r="GX193" s="77"/>
      <c r="GY193" s="77"/>
      <c r="GZ193" s="77"/>
      <c r="HA193" s="77"/>
      <c r="HB193" s="77"/>
      <c r="HC193" s="77"/>
      <c r="HD193" s="77"/>
      <c r="HE193" s="77"/>
      <c r="HF193" s="77"/>
      <c r="HG193" s="77"/>
      <c r="HH193" s="77"/>
      <c r="HI193" s="77"/>
      <c r="HJ193" s="77"/>
      <c r="HK193" s="77"/>
      <c r="HL193" s="77"/>
      <c r="HM193" s="77"/>
      <c r="HN193" s="77"/>
      <c r="HO193" s="77"/>
      <c r="HP193" s="77"/>
      <c r="HQ193" s="77"/>
      <c r="HR193" s="77"/>
      <c r="HS193" s="77"/>
      <c r="HT193" s="77"/>
      <c r="HU193" s="77"/>
      <c r="HV193" s="77"/>
      <c r="HW193" s="77"/>
      <c r="HX193" s="77"/>
      <c r="HY193" s="77"/>
      <c r="HZ193" s="77"/>
      <c r="IA193" s="77"/>
      <c r="IB193" s="77"/>
      <c r="IC193" s="77"/>
      <c r="ID193" s="77"/>
      <c r="IE193" s="77"/>
      <c r="IF193" s="77"/>
      <c r="IG193" s="77"/>
      <c r="IH193" s="77"/>
      <c r="II193" s="77"/>
      <c r="IJ193" s="77"/>
      <c r="IK193" s="77"/>
      <c r="IL193" s="77"/>
      <c r="IM193" s="77"/>
      <c r="IN193" s="77"/>
      <c r="IO193" s="77"/>
      <c r="IP193" s="77"/>
      <c r="IQ193" s="77"/>
      <c r="IR193" s="77"/>
      <c r="IS193" s="77"/>
      <c r="IT193" s="77"/>
      <c r="IU193" s="77"/>
      <c r="IV193" s="77"/>
      <c r="IW193" s="77"/>
      <c r="IX193" s="77"/>
      <c r="IY193" s="77"/>
      <c r="IZ193" s="77"/>
      <c r="JA193" s="77"/>
      <c r="JB193" s="77"/>
      <c r="JC193" s="77"/>
      <c r="JD193" s="77"/>
      <c r="JE193" s="77"/>
      <c r="JF193" s="77"/>
      <c r="JG193" s="77"/>
      <c r="JH193" s="77"/>
      <c r="JI193" s="77"/>
      <c r="JJ193" s="77"/>
    </row>
    <row r="194" spans="1:270" ht="15.75" customHeight="1">
      <c r="A194" s="84"/>
      <c r="B194" s="85"/>
      <c r="C194" s="86"/>
      <c r="D194" s="86"/>
      <c r="E194" s="86"/>
      <c r="F194" s="86"/>
      <c r="G194" s="86"/>
      <c r="H194" s="85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  <c r="AM194" s="77"/>
      <c r="AN194" s="77"/>
      <c r="AO194" s="77"/>
      <c r="AP194" s="77"/>
      <c r="AQ194" s="77"/>
      <c r="AR194" s="77"/>
      <c r="AS194" s="77"/>
      <c r="AT194" s="77"/>
      <c r="AU194" s="77"/>
      <c r="AV194" s="77"/>
      <c r="AW194" s="77"/>
      <c r="AX194" s="77"/>
      <c r="AY194" s="77"/>
      <c r="AZ194" s="77"/>
      <c r="BA194" s="77"/>
      <c r="BB194" s="77"/>
      <c r="BC194" s="77"/>
      <c r="BD194" s="77"/>
      <c r="BE194" s="77"/>
      <c r="BF194" s="77"/>
      <c r="BG194" s="77"/>
      <c r="BH194" s="77"/>
      <c r="BI194" s="77"/>
      <c r="BJ194" s="77"/>
      <c r="BK194" s="77"/>
      <c r="BL194" s="77"/>
      <c r="BM194" s="77"/>
      <c r="BN194" s="77"/>
      <c r="BO194" s="77"/>
      <c r="BP194" s="77"/>
      <c r="BQ194" s="77"/>
      <c r="BR194" s="77"/>
      <c r="BS194" s="77"/>
      <c r="BT194" s="77"/>
      <c r="BU194" s="77"/>
      <c r="BV194" s="77"/>
      <c r="BW194" s="77"/>
      <c r="BX194" s="77"/>
      <c r="BY194" s="77"/>
      <c r="BZ194" s="77"/>
      <c r="CA194" s="77"/>
      <c r="CB194" s="77"/>
      <c r="CC194" s="77"/>
      <c r="CD194" s="77"/>
      <c r="CE194" s="77"/>
      <c r="CF194" s="77"/>
      <c r="CG194" s="77"/>
      <c r="CH194" s="77"/>
      <c r="CI194" s="77"/>
      <c r="CJ194" s="77"/>
      <c r="CK194" s="77"/>
      <c r="CL194" s="77"/>
      <c r="CM194" s="77"/>
      <c r="CN194" s="77"/>
      <c r="CO194" s="77"/>
      <c r="CP194" s="77"/>
      <c r="CQ194" s="77"/>
      <c r="CR194" s="77"/>
      <c r="CS194" s="77"/>
      <c r="CT194" s="77"/>
      <c r="CU194" s="77"/>
      <c r="CV194" s="77"/>
      <c r="CW194" s="77"/>
      <c r="CX194" s="77"/>
      <c r="CY194" s="77"/>
      <c r="CZ194" s="77"/>
      <c r="DA194" s="77"/>
      <c r="DB194" s="77"/>
      <c r="DC194" s="77"/>
      <c r="DD194" s="77"/>
      <c r="DE194" s="77"/>
      <c r="DF194" s="77"/>
      <c r="DG194" s="77"/>
      <c r="DH194" s="77"/>
      <c r="DI194" s="77"/>
      <c r="DJ194" s="77"/>
      <c r="DK194" s="77"/>
      <c r="DL194" s="77"/>
      <c r="DM194" s="77"/>
      <c r="DN194" s="77"/>
      <c r="DO194" s="77"/>
      <c r="DP194" s="77"/>
      <c r="DQ194" s="77"/>
      <c r="DR194" s="77"/>
      <c r="DS194" s="77"/>
      <c r="DT194" s="77"/>
      <c r="DU194" s="77"/>
      <c r="DV194" s="77"/>
      <c r="DW194" s="77"/>
      <c r="DX194" s="77"/>
      <c r="DY194" s="77"/>
      <c r="DZ194" s="77"/>
      <c r="EA194" s="77"/>
      <c r="EB194" s="77"/>
      <c r="EC194" s="77"/>
      <c r="ED194" s="77"/>
      <c r="EE194" s="77"/>
      <c r="EF194" s="77"/>
      <c r="EG194" s="77"/>
      <c r="EH194" s="77"/>
      <c r="EI194" s="77"/>
      <c r="EJ194" s="77"/>
      <c r="EK194" s="77"/>
      <c r="EL194" s="77"/>
      <c r="EM194" s="77"/>
      <c r="EN194" s="77"/>
      <c r="EO194" s="77"/>
      <c r="EP194" s="77"/>
      <c r="EQ194" s="77"/>
      <c r="ER194" s="77"/>
      <c r="ES194" s="77"/>
      <c r="ET194" s="77"/>
      <c r="EU194" s="77"/>
      <c r="EV194" s="77"/>
      <c r="EW194" s="77"/>
      <c r="EX194" s="77"/>
      <c r="EY194" s="77"/>
      <c r="EZ194" s="77"/>
      <c r="FA194" s="77"/>
      <c r="FB194" s="77"/>
      <c r="FC194" s="77"/>
      <c r="FD194" s="77"/>
      <c r="FE194" s="77"/>
      <c r="FF194" s="77"/>
      <c r="FG194" s="77"/>
      <c r="FH194" s="77"/>
      <c r="FI194" s="77"/>
      <c r="FJ194" s="77"/>
      <c r="FK194" s="77"/>
      <c r="FL194" s="77"/>
      <c r="FM194" s="77"/>
      <c r="FN194" s="77"/>
      <c r="FO194" s="77"/>
      <c r="FP194" s="77"/>
      <c r="FQ194" s="77"/>
      <c r="FR194" s="77"/>
      <c r="FS194" s="77"/>
      <c r="FT194" s="77"/>
      <c r="FU194" s="77"/>
      <c r="FV194" s="77"/>
      <c r="FW194" s="77"/>
      <c r="FX194" s="77"/>
      <c r="FY194" s="77"/>
      <c r="FZ194" s="77"/>
      <c r="GA194" s="77"/>
      <c r="GB194" s="77"/>
      <c r="GC194" s="77"/>
      <c r="GD194" s="77"/>
      <c r="GE194" s="77"/>
      <c r="GF194" s="77"/>
      <c r="GG194" s="77"/>
      <c r="GH194" s="77"/>
      <c r="GI194" s="77"/>
      <c r="GJ194" s="77"/>
      <c r="GK194" s="77"/>
      <c r="GL194" s="77"/>
      <c r="GM194" s="77"/>
      <c r="GN194" s="77"/>
      <c r="GO194" s="77"/>
      <c r="GP194" s="77"/>
      <c r="GQ194" s="77"/>
      <c r="GR194" s="77"/>
      <c r="GS194" s="77"/>
      <c r="GT194" s="77"/>
      <c r="GU194" s="77"/>
      <c r="GV194" s="77"/>
      <c r="GW194" s="77"/>
      <c r="GX194" s="77"/>
      <c r="GY194" s="77"/>
      <c r="GZ194" s="77"/>
      <c r="HA194" s="77"/>
      <c r="HB194" s="77"/>
      <c r="HC194" s="77"/>
      <c r="HD194" s="77"/>
      <c r="HE194" s="77"/>
      <c r="HF194" s="77"/>
      <c r="HG194" s="77"/>
      <c r="HH194" s="77"/>
      <c r="HI194" s="77"/>
      <c r="HJ194" s="77"/>
      <c r="HK194" s="77"/>
      <c r="HL194" s="77"/>
      <c r="HM194" s="77"/>
      <c r="HN194" s="77"/>
      <c r="HO194" s="77"/>
      <c r="HP194" s="77"/>
      <c r="HQ194" s="77"/>
      <c r="HR194" s="77"/>
      <c r="HS194" s="77"/>
      <c r="HT194" s="77"/>
      <c r="HU194" s="77"/>
      <c r="HV194" s="77"/>
      <c r="HW194" s="77"/>
      <c r="HX194" s="77"/>
      <c r="HY194" s="77"/>
      <c r="HZ194" s="77"/>
      <c r="IA194" s="77"/>
      <c r="IB194" s="77"/>
      <c r="IC194" s="77"/>
      <c r="ID194" s="77"/>
      <c r="IE194" s="77"/>
      <c r="IF194" s="77"/>
      <c r="IG194" s="77"/>
      <c r="IH194" s="77"/>
      <c r="II194" s="77"/>
      <c r="IJ194" s="77"/>
      <c r="IK194" s="77"/>
      <c r="IL194" s="77"/>
      <c r="IM194" s="77"/>
      <c r="IN194" s="77"/>
      <c r="IO194" s="77"/>
      <c r="IP194" s="77"/>
      <c r="IQ194" s="77"/>
      <c r="IR194" s="77"/>
      <c r="IS194" s="77"/>
      <c r="IT194" s="77"/>
      <c r="IU194" s="77"/>
      <c r="IV194" s="77"/>
      <c r="IW194" s="77"/>
      <c r="IX194" s="77"/>
      <c r="IY194" s="77"/>
      <c r="IZ194" s="77"/>
      <c r="JA194" s="77"/>
      <c r="JB194" s="77"/>
      <c r="JC194" s="77"/>
      <c r="JD194" s="77"/>
      <c r="JE194" s="77"/>
      <c r="JF194" s="77"/>
      <c r="JG194" s="77"/>
      <c r="JH194" s="77"/>
      <c r="JI194" s="77"/>
      <c r="JJ194" s="77"/>
    </row>
    <row r="195" spans="1:270" ht="15.75" customHeight="1">
      <c r="A195" s="84"/>
      <c r="B195" s="85"/>
      <c r="C195" s="86"/>
      <c r="D195" s="86"/>
      <c r="E195" s="86"/>
      <c r="F195" s="86"/>
      <c r="G195" s="86"/>
      <c r="H195" s="85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  <c r="AM195" s="77"/>
      <c r="AN195" s="77"/>
      <c r="AO195" s="77"/>
      <c r="AP195" s="77"/>
      <c r="AQ195" s="77"/>
      <c r="AR195" s="77"/>
      <c r="AS195" s="77"/>
      <c r="AT195" s="77"/>
      <c r="AU195" s="77"/>
      <c r="AV195" s="77"/>
      <c r="AW195" s="77"/>
      <c r="AX195" s="77"/>
      <c r="AY195" s="77"/>
      <c r="AZ195" s="77"/>
      <c r="BA195" s="77"/>
      <c r="BB195" s="77"/>
      <c r="BC195" s="77"/>
      <c r="BD195" s="77"/>
      <c r="BE195" s="77"/>
      <c r="BF195" s="77"/>
      <c r="BG195" s="77"/>
      <c r="BH195" s="77"/>
      <c r="BI195" s="77"/>
      <c r="BJ195" s="77"/>
      <c r="BK195" s="77"/>
      <c r="BL195" s="77"/>
      <c r="BM195" s="77"/>
      <c r="BN195" s="77"/>
      <c r="BO195" s="77"/>
      <c r="BP195" s="77"/>
      <c r="BQ195" s="77"/>
      <c r="BR195" s="77"/>
      <c r="BS195" s="77"/>
      <c r="BT195" s="77"/>
      <c r="BU195" s="77"/>
      <c r="BV195" s="77"/>
      <c r="BW195" s="77"/>
      <c r="BX195" s="77"/>
      <c r="BY195" s="77"/>
      <c r="BZ195" s="77"/>
      <c r="CA195" s="77"/>
      <c r="CB195" s="77"/>
      <c r="CC195" s="77"/>
      <c r="CD195" s="77"/>
      <c r="CE195" s="77"/>
      <c r="CF195" s="77"/>
      <c r="CG195" s="77"/>
      <c r="CH195" s="77"/>
      <c r="CI195" s="77"/>
      <c r="CJ195" s="77"/>
      <c r="CK195" s="77"/>
      <c r="CL195" s="77"/>
      <c r="CM195" s="77"/>
      <c r="CN195" s="77"/>
      <c r="CO195" s="77"/>
      <c r="CP195" s="77"/>
      <c r="CQ195" s="77"/>
      <c r="CR195" s="77"/>
      <c r="CS195" s="77"/>
      <c r="CT195" s="77"/>
      <c r="CU195" s="77"/>
      <c r="CV195" s="77"/>
      <c r="CW195" s="77"/>
      <c r="CX195" s="77"/>
      <c r="CY195" s="77"/>
      <c r="CZ195" s="77"/>
      <c r="DA195" s="77"/>
      <c r="DB195" s="77"/>
      <c r="DC195" s="77"/>
      <c r="DD195" s="77"/>
      <c r="DE195" s="77"/>
      <c r="DF195" s="77"/>
      <c r="DG195" s="77"/>
      <c r="DH195" s="77"/>
      <c r="DI195" s="77"/>
      <c r="DJ195" s="77"/>
      <c r="DK195" s="77"/>
      <c r="DL195" s="77"/>
      <c r="DM195" s="77"/>
      <c r="DN195" s="77"/>
      <c r="DO195" s="77"/>
      <c r="DP195" s="77"/>
      <c r="DQ195" s="77"/>
      <c r="DR195" s="77"/>
      <c r="DS195" s="77"/>
      <c r="DT195" s="77"/>
      <c r="DU195" s="77"/>
      <c r="DV195" s="77"/>
      <c r="DW195" s="77"/>
      <c r="DX195" s="77"/>
      <c r="DY195" s="77"/>
      <c r="DZ195" s="77"/>
      <c r="EA195" s="77"/>
      <c r="EB195" s="77"/>
      <c r="EC195" s="77"/>
      <c r="ED195" s="77"/>
      <c r="EE195" s="77"/>
      <c r="EF195" s="77"/>
      <c r="EG195" s="77"/>
      <c r="EH195" s="77"/>
      <c r="EI195" s="77"/>
      <c r="EJ195" s="77"/>
      <c r="EK195" s="77"/>
      <c r="EL195" s="77"/>
      <c r="EM195" s="77"/>
      <c r="EN195" s="77"/>
      <c r="EO195" s="77"/>
      <c r="EP195" s="77"/>
      <c r="EQ195" s="77"/>
      <c r="ER195" s="77"/>
      <c r="ES195" s="77"/>
      <c r="ET195" s="77"/>
      <c r="EU195" s="77"/>
      <c r="EV195" s="77"/>
      <c r="EW195" s="77"/>
      <c r="EX195" s="77"/>
      <c r="EY195" s="77"/>
      <c r="EZ195" s="77"/>
      <c r="FA195" s="77"/>
      <c r="FB195" s="77"/>
      <c r="FC195" s="77"/>
      <c r="FD195" s="77"/>
      <c r="FE195" s="77"/>
      <c r="FF195" s="77"/>
      <c r="FG195" s="77"/>
      <c r="FH195" s="77"/>
      <c r="FI195" s="77"/>
      <c r="FJ195" s="77"/>
      <c r="FK195" s="77"/>
      <c r="FL195" s="77"/>
      <c r="FM195" s="77"/>
      <c r="FN195" s="77"/>
      <c r="FO195" s="77"/>
      <c r="FP195" s="77"/>
      <c r="FQ195" s="77"/>
      <c r="FR195" s="77"/>
      <c r="FS195" s="77"/>
      <c r="FT195" s="77"/>
      <c r="FU195" s="77"/>
      <c r="FV195" s="77"/>
      <c r="FW195" s="77"/>
      <c r="FX195" s="77"/>
      <c r="FY195" s="77"/>
      <c r="FZ195" s="77"/>
      <c r="GA195" s="77"/>
      <c r="GB195" s="77"/>
      <c r="GC195" s="77"/>
      <c r="GD195" s="77"/>
      <c r="GE195" s="77"/>
      <c r="GF195" s="77"/>
      <c r="GG195" s="77"/>
      <c r="GH195" s="77"/>
      <c r="GI195" s="77"/>
      <c r="GJ195" s="77"/>
      <c r="GK195" s="77"/>
      <c r="GL195" s="77"/>
      <c r="GM195" s="77"/>
      <c r="GN195" s="77"/>
      <c r="GO195" s="77"/>
      <c r="GP195" s="77"/>
      <c r="GQ195" s="77"/>
      <c r="GR195" s="77"/>
      <c r="GS195" s="77"/>
      <c r="GT195" s="77"/>
      <c r="GU195" s="77"/>
      <c r="GV195" s="77"/>
      <c r="GW195" s="77"/>
      <c r="GX195" s="77"/>
      <c r="GY195" s="77"/>
      <c r="GZ195" s="77"/>
      <c r="HA195" s="77"/>
      <c r="HB195" s="77"/>
      <c r="HC195" s="77"/>
      <c r="HD195" s="77"/>
      <c r="HE195" s="77"/>
      <c r="HF195" s="77"/>
      <c r="HG195" s="77"/>
      <c r="HH195" s="77"/>
      <c r="HI195" s="77"/>
      <c r="HJ195" s="77"/>
      <c r="HK195" s="77"/>
      <c r="HL195" s="77"/>
      <c r="HM195" s="77"/>
      <c r="HN195" s="77"/>
      <c r="HO195" s="77"/>
      <c r="HP195" s="77"/>
      <c r="HQ195" s="77"/>
      <c r="HR195" s="77"/>
      <c r="HS195" s="77"/>
      <c r="HT195" s="77"/>
      <c r="HU195" s="77"/>
      <c r="HV195" s="77"/>
      <c r="HW195" s="77"/>
      <c r="HX195" s="77"/>
      <c r="HY195" s="77"/>
      <c r="HZ195" s="77"/>
      <c r="IA195" s="77"/>
      <c r="IB195" s="77"/>
      <c r="IC195" s="77"/>
      <c r="ID195" s="77"/>
      <c r="IE195" s="77"/>
      <c r="IF195" s="77"/>
      <c r="IG195" s="77"/>
      <c r="IH195" s="77"/>
      <c r="II195" s="77"/>
      <c r="IJ195" s="77"/>
      <c r="IK195" s="77"/>
      <c r="IL195" s="77"/>
      <c r="IM195" s="77"/>
      <c r="IN195" s="77"/>
      <c r="IO195" s="77"/>
      <c r="IP195" s="77"/>
      <c r="IQ195" s="77"/>
      <c r="IR195" s="77"/>
      <c r="IS195" s="77"/>
      <c r="IT195" s="77"/>
      <c r="IU195" s="77"/>
      <c r="IV195" s="77"/>
      <c r="IW195" s="77"/>
      <c r="IX195" s="77"/>
      <c r="IY195" s="77"/>
      <c r="IZ195" s="77"/>
      <c r="JA195" s="77"/>
      <c r="JB195" s="77"/>
      <c r="JC195" s="77"/>
      <c r="JD195" s="77"/>
      <c r="JE195" s="77"/>
      <c r="JF195" s="77"/>
      <c r="JG195" s="77"/>
      <c r="JH195" s="77"/>
      <c r="JI195" s="77"/>
      <c r="JJ195" s="77"/>
    </row>
    <row r="196" spans="1:270" ht="15.75" customHeight="1">
      <c r="A196" s="84"/>
      <c r="B196" s="118"/>
      <c r="C196" s="118"/>
      <c r="D196" s="86"/>
      <c r="E196" s="86"/>
      <c r="F196" s="86"/>
      <c r="G196" s="86"/>
      <c r="H196" s="85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  <c r="AM196" s="77"/>
      <c r="AN196" s="77"/>
      <c r="AO196" s="77"/>
      <c r="AP196" s="77"/>
      <c r="AQ196" s="77"/>
      <c r="AR196" s="77"/>
      <c r="AS196" s="77"/>
      <c r="AT196" s="77"/>
      <c r="AU196" s="77"/>
      <c r="AV196" s="77"/>
      <c r="AW196" s="77"/>
      <c r="AX196" s="77"/>
      <c r="AY196" s="77"/>
      <c r="AZ196" s="77"/>
      <c r="BA196" s="77"/>
      <c r="BB196" s="77"/>
      <c r="BC196" s="77"/>
      <c r="BD196" s="77"/>
      <c r="BE196" s="77"/>
      <c r="BF196" s="77"/>
      <c r="BG196" s="77"/>
      <c r="BH196" s="77"/>
      <c r="BI196" s="77"/>
      <c r="BJ196" s="77"/>
      <c r="BK196" s="77"/>
      <c r="BL196" s="77"/>
      <c r="BM196" s="77"/>
      <c r="BN196" s="77"/>
      <c r="BO196" s="77"/>
      <c r="BP196" s="77"/>
      <c r="BQ196" s="77"/>
      <c r="BR196" s="77"/>
      <c r="BS196" s="77"/>
      <c r="BT196" s="77"/>
      <c r="BU196" s="77"/>
      <c r="BV196" s="77"/>
      <c r="BW196" s="77"/>
      <c r="BX196" s="77"/>
      <c r="BY196" s="77"/>
      <c r="BZ196" s="77"/>
      <c r="CA196" s="77"/>
      <c r="CB196" s="77"/>
      <c r="CC196" s="77"/>
      <c r="CD196" s="77"/>
      <c r="CE196" s="77"/>
      <c r="CF196" s="77"/>
      <c r="CG196" s="77"/>
      <c r="CH196" s="77"/>
      <c r="CI196" s="77"/>
      <c r="CJ196" s="77"/>
      <c r="CK196" s="77"/>
      <c r="CL196" s="77"/>
      <c r="CM196" s="77"/>
      <c r="CN196" s="77"/>
      <c r="CO196" s="77"/>
      <c r="CP196" s="77"/>
      <c r="CQ196" s="77"/>
      <c r="CR196" s="77"/>
      <c r="CS196" s="77"/>
      <c r="CT196" s="77"/>
      <c r="CU196" s="77"/>
      <c r="CV196" s="77"/>
      <c r="CW196" s="77"/>
      <c r="CX196" s="77"/>
      <c r="CY196" s="77"/>
      <c r="CZ196" s="77"/>
      <c r="DA196" s="77"/>
      <c r="DB196" s="77"/>
      <c r="DC196" s="77"/>
      <c r="DD196" s="77"/>
      <c r="DE196" s="77"/>
      <c r="DF196" s="77"/>
      <c r="DG196" s="77"/>
      <c r="DH196" s="77"/>
      <c r="DI196" s="77"/>
      <c r="DJ196" s="77"/>
      <c r="DK196" s="77"/>
      <c r="DL196" s="77"/>
      <c r="DM196" s="77"/>
      <c r="DN196" s="77"/>
      <c r="DO196" s="77"/>
      <c r="DP196" s="77"/>
      <c r="DQ196" s="77"/>
      <c r="DR196" s="77"/>
      <c r="DS196" s="77"/>
      <c r="DT196" s="77"/>
      <c r="DU196" s="77"/>
      <c r="DV196" s="77"/>
      <c r="DW196" s="77"/>
      <c r="DX196" s="77"/>
      <c r="DY196" s="77"/>
      <c r="DZ196" s="77"/>
      <c r="EA196" s="77"/>
      <c r="EB196" s="77"/>
      <c r="EC196" s="77"/>
      <c r="ED196" s="77"/>
      <c r="EE196" s="77"/>
      <c r="EF196" s="77"/>
      <c r="EG196" s="77"/>
      <c r="EH196" s="77"/>
      <c r="EI196" s="77"/>
      <c r="EJ196" s="77"/>
      <c r="EK196" s="77"/>
      <c r="EL196" s="77"/>
      <c r="EM196" s="77"/>
      <c r="EN196" s="77"/>
      <c r="EO196" s="77"/>
      <c r="EP196" s="77"/>
      <c r="EQ196" s="77"/>
      <c r="ER196" s="77"/>
      <c r="ES196" s="77"/>
      <c r="ET196" s="77"/>
      <c r="EU196" s="77"/>
      <c r="EV196" s="77"/>
      <c r="EW196" s="77"/>
      <c r="EX196" s="77"/>
      <c r="EY196" s="77"/>
      <c r="EZ196" s="77"/>
      <c r="FA196" s="77"/>
      <c r="FB196" s="77"/>
      <c r="FC196" s="77"/>
      <c r="FD196" s="77"/>
      <c r="FE196" s="77"/>
      <c r="FF196" s="77"/>
      <c r="FG196" s="77"/>
      <c r="FH196" s="77"/>
      <c r="FI196" s="77"/>
      <c r="FJ196" s="77"/>
      <c r="FK196" s="77"/>
      <c r="FL196" s="77"/>
      <c r="FM196" s="77"/>
      <c r="FN196" s="77"/>
      <c r="FO196" s="77"/>
      <c r="FP196" s="77"/>
      <c r="FQ196" s="77"/>
      <c r="FR196" s="77"/>
      <c r="FS196" s="77"/>
      <c r="FT196" s="77"/>
      <c r="FU196" s="77"/>
      <c r="FV196" s="77"/>
      <c r="FW196" s="77"/>
      <c r="FX196" s="77"/>
      <c r="FY196" s="77"/>
      <c r="FZ196" s="77"/>
      <c r="GA196" s="77"/>
      <c r="GB196" s="77"/>
      <c r="GC196" s="77"/>
      <c r="GD196" s="77"/>
      <c r="GE196" s="77"/>
      <c r="GF196" s="77"/>
      <c r="GG196" s="77"/>
      <c r="GH196" s="77"/>
      <c r="GI196" s="77"/>
      <c r="GJ196" s="77"/>
      <c r="GK196" s="77"/>
      <c r="GL196" s="77"/>
      <c r="GM196" s="77"/>
      <c r="GN196" s="77"/>
      <c r="GO196" s="77"/>
      <c r="GP196" s="77"/>
      <c r="GQ196" s="77"/>
      <c r="GR196" s="77"/>
      <c r="GS196" s="77"/>
      <c r="GT196" s="77"/>
      <c r="GU196" s="77"/>
      <c r="GV196" s="77"/>
      <c r="GW196" s="77"/>
      <c r="GX196" s="77"/>
      <c r="GY196" s="77"/>
      <c r="GZ196" s="77"/>
      <c r="HA196" s="77"/>
      <c r="HB196" s="77"/>
      <c r="HC196" s="77"/>
      <c r="HD196" s="77"/>
      <c r="HE196" s="77"/>
      <c r="HF196" s="77"/>
      <c r="HG196" s="77"/>
      <c r="HH196" s="77"/>
      <c r="HI196" s="77"/>
      <c r="HJ196" s="77"/>
      <c r="HK196" s="77"/>
      <c r="HL196" s="77"/>
      <c r="HM196" s="77"/>
      <c r="HN196" s="77"/>
      <c r="HO196" s="77"/>
      <c r="HP196" s="77"/>
      <c r="HQ196" s="77"/>
      <c r="HR196" s="77"/>
      <c r="HS196" s="77"/>
      <c r="HT196" s="77"/>
      <c r="HU196" s="77"/>
      <c r="HV196" s="77"/>
      <c r="HW196" s="77"/>
      <c r="HX196" s="77"/>
      <c r="HY196" s="77"/>
      <c r="HZ196" s="77"/>
      <c r="IA196" s="77"/>
      <c r="IB196" s="77"/>
      <c r="IC196" s="77"/>
      <c r="ID196" s="77"/>
      <c r="IE196" s="77"/>
      <c r="IF196" s="77"/>
      <c r="IG196" s="77"/>
      <c r="IH196" s="77"/>
      <c r="II196" s="77"/>
      <c r="IJ196" s="77"/>
      <c r="IK196" s="77"/>
      <c r="IL196" s="77"/>
      <c r="IM196" s="77"/>
      <c r="IN196" s="77"/>
      <c r="IO196" s="77"/>
      <c r="IP196" s="77"/>
      <c r="IQ196" s="77"/>
      <c r="IR196" s="77"/>
      <c r="IS196" s="77"/>
      <c r="IT196" s="77"/>
      <c r="IU196" s="77"/>
      <c r="IV196" s="77"/>
      <c r="IW196" s="77"/>
      <c r="IX196" s="77"/>
      <c r="IY196" s="77"/>
      <c r="IZ196" s="77"/>
      <c r="JA196" s="77"/>
      <c r="JB196" s="77"/>
      <c r="JC196" s="77"/>
      <c r="JD196" s="77"/>
      <c r="JE196" s="77"/>
      <c r="JF196" s="77"/>
      <c r="JG196" s="77"/>
      <c r="JH196" s="77"/>
      <c r="JI196" s="77"/>
      <c r="JJ196" s="77"/>
    </row>
    <row r="197" spans="1:270" ht="15.75" customHeight="1">
      <c r="A197" s="84"/>
      <c r="B197" s="2"/>
      <c r="C197" s="1"/>
      <c r="D197" s="86"/>
      <c r="E197" s="86"/>
      <c r="F197" s="86"/>
      <c r="G197" s="86"/>
      <c r="H197" s="85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  <c r="AM197" s="77"/>
      <c r="AN197" s="77"/>
      <c r="AO197" s="77"/>
      <c r="AP197" s="77"/>
      <c r="AQ197" s="77"/>
      <c r="AR197" s="77"/>
      <c r="AS197" s="77"/>
      <c r="AT197" s="77"/>
      <c r="AU197" s="77"/>
      <c r="AV197" s="77"/>
      <c r="AW197" s="77"/>
      <c r="AX197" s="77"/>
      <c r="AY197" s="77"/>
      <c r="AZ197" s="77"/>
      <c r="BA197" s="77"/>
      <c r="BB197" s="77"/>
      <c r="BC197" s="77"/>
      <c r="BD197" s="77"/>
      <c r="BE197" s="77"/>
      <c r="BF197" s="77"/>
      <c r="BG197" s="77"/>
      <c r="BH197" s="77"/>
      <c r="BI197" s="77"/>
      <c r="BJ197" s="77"/>
      <c r="BK197" s="77"/>
      <c r="BL197" s="77"/>
      <c r="BM197" s="77"/>
      <c r="BN197" s="77"/>
      <c r="BO197" s="77"/>
      <c r="BP197" s="77"/>
      <c r="BQ197" s="77"/>
      <c r="BR197" s="77"/>
      <c r="BS197" s="77"/>
      <c r="BT197" s="77"/>
      <c r="BU197" s="77"/>
      <c r="BV197" s="77"/>
      <c r="BW197" s="77"/>
      <c r="BX197" s="77"/>
      <c r="BY197" s="77"/>
      <c r="BZ197" s="77"/>
      <c r="CA197" s="77"/>
      <c r="CB197" s="77"/>
      <c r="CC197" s="77"/>
      <c r="CD197" s="77"/>
      <c r="CE197" s="77"/>
      <c r="CF197" s="77"/>
      <c r="CG197" s="77"/>
      <c r="CH197" s="77"/>
      <c r="CI197" s="77"/>
      <c r="CJ197" s="77"/>
      <c r="CK197" s="77"/>
      <c r="CL197" s="77"/>
      <c r="CM197" s="77"/>
      <c r="CN197" s="77"/>
      <c r="CO197" s="77"/>
      <c r="CP197" s="77"/>
      <c r="CQ197" s="77"/>
      <c r="CR197" s="77"/>
      <c r="CS197" s="77"/>
      <c r="CT197" s="77"/>
      <c r="CU197" s="77"/>
      <c r="CV197" s="77"/>
      <c r="CW197" s="77"/>
      <c r="CX197" s="77"/>
      <c r="CY197" s="77"/>
      <c r="CZ197" s="77"/>
      <c r="DA197" s="77"/>
      <c r="DB197" s="77"/>
      <c r="DC197" s="77"/>
      <c r="DD197" s="77"/>
      <c r="DE197" s="77"/>
      <c r="DF197" s="77"/>
      <c r="DG197" s="77"/>
      <c r="DH197" s="77"/>
      <c r="DI197" s="77"/>
      <c r="DJ197" s="77"/>
      <c r="DK197" s="77"/>
      <c r="DL197" s="77"/>
      <c r="DM197" s="77"/>
      <c r="DN197" s="77"/>
      <c r="DO197" s="77"/>
      <c r="DP197" s="77"/>
      <c r="DQ197" s="77"/>
      <c r="DR197" s="77"/>
      <c r="DS197" s="77"/>
      <c r="DT197" s="77"/>
      <c r="DU197" s="77"/>
      <c r="DV197" s="77"/>
      <c r="DW197" s="77"/>
      <c r="DX197" s="77"/>
      <c r="DY197" s="77"/>
      <c r="DZ197" s="77"/>
      <c r="EA197" s="77"/>
      <c r="EB197" s="77"/>
      <c r="EC197" s="77"/>
      <c r="ED197" s="77"/>
      <c r="EE197" s="77"/>
      <c r="EF197" s="77"/>
      <c r="EG197" s="77"/>
      <c r="EH197" s="77"/>
      <c r="EI197" s="77"/>
      <c r="EJ197" s="77"/>
      <c r="EK197" s="77"/>
      <c r="EL197" s="77"/>
      <c r="EM197" s="77"/>
      <c r="EN197" s="77"/>
      <c r="EO197" s="77"/>
      <c r="EP197" s="77"/>
      <c r="EQ197" s="77"/>
      <c r="ER197" s="77"/>
      <c r="ES197" s="77"/>
      <c r="ET197" s="77"/>
      <c r="EU197" s="77"/>
      <c r="EV197" s="77"/>
      <c r="EW197" s="77"/>
      <c r="EX197" s="77"/>
      <c r="EY197" s="77"/>
      <c r="EZ197" s="77"/>
      <c r="FA197" s="77"/>
      <c r="FB197" s="77"/>
      <c r="FC197" s="77"/>
      <c r="FD197" s="77"/>
      <c r="FE197" s="77"/>
      <c r="FF197" s="77"/>
      <c r="FG197" s="77"/>
      <c r="FH197" s="77"/>
      <c r="FI197" s="77"/>
      <c r="FJ197" s="77"/>
      <c r="FK197" s="77"/>
      <c r="FL197" s="77"/>
      <c r="FM197" s="77"/>
      <c r="FN197" s="77"/>
      <c r="FO197" s="77"/>
      <c r="FP197" s="77"/>
      <c r="FQ197" s="77"/>
      <c r="FR197" s="77"/>
      <c r="FS197" s="77"/>
      <c r="FT197" s="77"/>
      <c r="FU197" s="77"/>
      <c r="FV197" s="77"/>
      <c r="FW197" s="77"/>
      <c r="FX197" s="77"/>
      <c r="FY197" s="77"/>
      <c r="FZ197" s="77"/>
      <c r="GA197" s="77"/>
      <c r="GB197" s="77"/>
      <c r="GC197" s="77"/>
      <c r="GD197" s="77"/>
      <c r="GE197" s="77"/>
      <c r="GF197" s="77"/>
      <c r="GG197" s="77"/>
      <c r="GH197" s="77"/>
      <c r="GI197" s="77"/>
      <c r="GJ197" s="77"/>
      <c r="GK197" s="77"/>
      <c r="GL197" s="77"/>
      <c r="GM197" s="77"/>
      <c r="GN197" s="77"/>
      <c r="GO197" s="77"/>
      <c r="GP197" s="77"/>
      <c r="GQ197" s="77"/>
      <c r="GR197" s="77"/>
      <c r="GS197" s="77"/>
      <c r="GT197" s="77"/>
      <c r="GU197" s="77"/>
      <c r="GV197" s="77"/>
      <c r="GW197" s="77"/>
      <c r="GX197" s="77"/>
      <c r="GY197" s="77"/>
      <c r="GZ197" s="77"/>
      <c r="HA197" s="77"/>
      <c r="HB197" s="77"/>
      <c r="HC197" s="77"/>
      <c r="HD197" s="77"/>
      <c r="HE197" s="77"/>
      <c r="HF197" s="77"/>
      <c r="HG197" s="77"/>
      <c r="HH197" s="77"/>
      <c r="HI197" s="77"/>
      <c r="HJ197" s="77"/>
      <c r="HK197" s="77"/>
      <c r="HL197" s="77"/>
      <c r="HM197" s="77"/>
      <c r="HN197" s="77"/>
      <c r="HO197" s="77"/>
      <c r="HP197" s="77"/>
      <c r="HQ197" s="77"/>
      <c r="HR197" s="77"/>
      <c r="HS197" s="77"/>
      <c r="HT197" s="77"/>
      <c r="HU197" s="77"/>
      <c r="HV197" s="77"/>
      <c r="HW197" s="77"/>
      <c r="HX197" s="77"/>
      <c r="HY197" s="77"/>
      <c r="HZ197" s="77"/>
      <c r="IA197" s="77"/>
      <c r="IB197" s="77"/>
      <c r="IC197" s="77"/>
      <c r="ID197" s="77"/>
      <c r="IE197" s="77"/>
      <c r="IF197" s="77"/>
      <c r="IG197" s="77"/>
      <c r="IH197" s="77"/>
      <c r="II197" s="77"/>
      <c r="IJ197" s="77"/>
      <c r="IK197" s="77"/>
      <c r="IL197" s="77"/>
      <c r="IM197" s="77"/>
      <c r="IN197" s="77"/>
      <c r="IO197" s="77"/>
      <c r="IP197" s="77"/>
      <c r="IQ197" s="77"/>
      <c r="IR197" s="77"/>
      <c r="IS197" s="77"/>
      <c r="IT197" s="77"/>
      <c r="IU197" s="77"/>
      <c r="IV197" s="77"/>
      <c r="IW197" s="77"/>
      <c r="IX197" s="77"/>
      <c r="IY197" s="77"/>
      <c r="IZ197" s="77"/>
      <c r="JA197" s="77"/>
      <c r="JB197" s="77"/>
      <c r="JC197" s="77"/>
      <c r="JD197" s="77"/>
      <c r="JE197" s="77"/>
      <c r="JF197" s="77"/>
      <c r="JG197" s="77"/>
      <c r="JH197" s="77"/>
      <c r="JI197" s="77"/>
      <c r="JJ197" s="77"/>
    </row>
    <row r="198" spans="1:270" ht="15.75" customHeight="1">
      <c r="A198" s="84"/>
      <c r="B198" s="85"/>
      <c r="C198" s="86"/>
      <c r="D198" s="86"/>
      <c r="E198" s="86"/>
      <c r="F198" s="86"/>
      <c r="G198" s="86"/>
      <c r="H198" s="85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  <c r="AM198" s="77"/>
      <c r="AN198" s="77"/>
      <c r="AO198" s="77"/>
      <c r="AP198" s="77"/>
      <c r="AQ198" s="77"/>
      <c r="AR198" s="77"/>
      <c r="AS198" s="77"/>
      <c r="AT198" s="77"/>
      <c r="AU198" s="77"/>
      <c r="AV198" s="77"/>
      <c r="AW198" s="77"/>
      <c r="AX198" s="77"/>
      <c r="AY198" s="77"/>
      <c r="AZ198" s="77"/>
      <c r="BA198" s="77"/>
      <c r="BB198" s="77"/>
      <c r="BC198" s="77"/>
      <c r="BD198" s="77"/>
      <c r="BE198" s="77"/>
      <c r="BF198" s="77"/>
      <c r="BG198" s="77"/>
      <c r="BH198" s="77"/>
      <c r="BI198" s="77"/>
      <c r="BJ198" s="77"/>
      <c r="BK198" s="77"/>
      <c r="BL198" s="77"/>
      <c r="BM198" s="77"/>
      <c r="BN198" s="77"/>
      <c r="BO198" s="77"/>
      <c r="BP198" s="77"/>
      <c r="BQ198" s="77"/>
      <c r="BR198" s="77"/>
      <c r="BS198" s="77"/>
      <c r="BT198" s="77"/>
      <c r="BU198" s="77"/>
      <c r="BV198" s="77"/>
      <c r="BW198" s="77"/>
      <c r="BX198" s="77"/>
      <c r="BY198" s="77"/>
      <c r="BZ198" s="77"/>
      <c r="CA198" s="77"/>
      <c r="CB198" s="77"/>
      <c r="CC198" s="77"/>
      <c r="CD198" s="77"/>
      <c r="CE198" s="77"/>
      <c r="CF198" s="77"/>
      <c r="CG198" s="77"/>
      <c r="CH198" s="77"/>
      <c r="CI198" s="77"/>
      <c r="CJ198" s="77"/>
      <c r="CK198" s="77"/>
      <c r="CL198" s="77"/>
      <c r="CM198" s="77"/>
      <c r="CN198" s="77"/>
      <c r="CO198" s="77"/>
      <c r="CP198" s="77"/>
      <c r="CQ198" s="77"/>
      <c r="CR198" s="77"/>
      <c r="CS198" s="77"/>
      <c r="CT198" s="77"/>
      <c r="CU198" s="77"/>
      <c r="CV198" s="77"/>
      <c r="CW198" s="77"/>
      <c r="CX198" s="77"/>
      <c r="CY198" s="77"/>
      <c r="CZ198" s="77"/>
      <c r="DA198" s="77"/>
      <c r="DB198" s="77"/>
      <c r="DC198" s="77"/>
      <c r="DD198" s="77"/>
      <c r="DE198" s="77"/>
      <c r="DF198" s="77"/>
      <c r="DG198" s="77"/>
      <c r="DH198" s="77"/>
      <c r="DI198" s="77"/>
      <c r="DJ198" s="77"/>
      <c r="DK198" s="77"/>
      <c r="DL198" s="77"/>
      <c r="DM198" s="77"/>
      <c r="DN198" s="77"/>
      <c r="DO198" s="77"/>
      <c r="DP198" s="77"/>
      <c r="DQ198" s="77"/>
      <c r="DR198" s="77"/>
      <c r="DS198" s="77"/>
      <c r="DT198" s="77"/>
      <c r="DU198" s="77"/>
      <c r="DV198" s="77"/>
      <c r="DW198" s="77"/>
      <c r="DX198" s="77"/>
      <c r="DY198" s="77"/>
      <c r="DZ198" s="77"/>
      <c r="EA198" s="77"/>
      <c r="EB198" s="77"/>
      <c r="EC198" s="77"/>
      <c r="ED198" s="77"/>
      <c r="EE198" s="77"/>
      <c r="EF198" s="77"/>
      <c r="EG198" s="77"/>
      <c r="EH198" s="77"/>
      <c r="EI198" s="77"/>
      <c r="EJ198" s="77"/>
      <c r="EK198" s="77"/>
      <c r="EL198" s="77"/>
      <c r="EM198" s="77"/>
      <c r="EN198" s="77"/>
      <c r="EO198" s="77"/>
      <c r="EP198" s="77"/>
      <c r="EQ198" s="77"/>
      <c r="ER198" s="77"/>
      <c r="ES198" s="77"/>
      <c r="ET198" s="77"/>
      <c r="EU198" s="77"/>
      <c r="EV198" s="77"/>
      <c r="EW198" s="77"/>
      <c r="EX198" s="77"/>
      <c r="EY198" s="77"/>
      <c r="EZ198" s="77"/>
      <c r="FA198" s="77"/>
      <c r="FB198" s="77"/>
      <c r="FC198" s="77"/>
      <c r="FD198" s="77"/>
      <c r="FE198" s="77"/>
      <c r="FF198" s="77"/>
      <c r="FG198" s="77"/>
      <c r="FH198" s="77"/>
      <c r="FI198" s="77"/>
      <c r="FJ198" s="77"/>
      <c r="FK198" s="77"/>
      <c r="FL198" s="77"/>
      <c r="FM198" s="77"/>
      <c r="FN198" s="77"/>
      <c r="FO198" s="77"/>
      <c r="FP198" s="77"/>
      <c r="FQ198" s="77"/>
      <c r="FR198" s="77"/>
      <c r="FS198" s="77"/>
      <c r="FT198" s="77"/>
      <c r="FU198" s="77"/>
      <c r="FV198" s="77"/>
      <c r="FW198" s="77"/>
      <c r="FX198" s="77"/>
      <c r="FY198" s="77"/>
      <c r="FZ198" s="77"/>
      <c r="GA198" s="77"/>
      <c r="GB198" s="77"/>
      <c r="GC198" s="77"/>
      <c r="GD198" s="77"/>
      <c r="GE198" s="77"/>
      <c r="GF198" s="77"/>
      <c r="GG198" s="77"/>
      <c r="GH198" s="77"/>
      <c r="GI198" s="77"/>
      <c r="GJ198" s="77"/>
      <c r="GK198" s="77"/>
      <c r="GL198" s="77"/>
      <c r="GM198" s="77"/>
      <c r="GN198" s="77"/>
      <c r="GO198" s="77"/>
      <c r="GP198" s="77"/>
      <c r="GQ198" s="77"/>
      <c r="GR198" s="77"/>
      <c r="GS198" s="77"/>
      <c r="GT198" s="77"/>
      <c r="GU198" s="77"/>
      <c r="GV198" s="77"/>
      <c r="GW198" s="77"/>
      <c r="GX198" s="77"/>
      <c r="GY198" s="77"/>
      <c r="GZ198" s="77"/>
      <c r="HA198" s="77"/>
      <c r="HB198" s="77"/>
      <c r="HC198" s="77"/>
      <c r="HD198" s="77"/>
      <c r="HE198" s="77"/>
      <c r="HF198" s="77"/>
      <c r="HG198" s="77"/>
      <c r="HH198" s="77"/>
      <c r="HI198" s="77"/>
      <c r="HJ198" s="77"/>
      <c r="HK198" s="77"/>
      <c r="HL198" s="77"/>
      <c r="HM198" s="77"/>
      <c r="HN198" s="77"/>
      <c r="HO198" s="77"/>
      <c r="HP198" s="77"/>
      <c r="HQ198" s="77"/>
      <c r="HR198" s="77"/>
      <c r="HS198" s="77"/>
      <c r="HT198" s="77"/>
      <c r="HU198" s="77"/>
      <c r="HV198" s="77"/>
      <c r="HW198" s="77"/>
      <c r="HX198" s="77"/>
      <c r="HY198" s="77"/>
      <c r="HZ198" s="77"/>
      <c r="IA198" s="77"/>
      <c r="IB198" s="77"/>
      <c r="IC198" s="77"/>
      <c r="ID198" s="77"/>
      <c r="IE198" s="77"/>
      <c r="IF198" s="77"/>
      <c r="IG198" s="77"/>
      <c r="IH198" s="77"/>
      <c r="II198" s="77"/>
      <c r="IJ198" s="77"/>
      <c r="IK198" s="77"/>
      <c r="IL198" s="77"/>
      <c r="IM198" s="77"/>
      <c r="IN198" s="77"/>
      <c r="IO198" s="77"/>
      <c r="IP198" s="77"/>
      <c r="IQ198" s="77"/>
      <c r="IR198" s="77"/>
      <c r="IS198" s="77"/>
      <c r="IT198" s="77"/>
      <c r="IU198" s="77"/>
      <c r="IV198" s="77"/>
      <c r="IW198" s="77"/>
      <c r="IX198" s="77"/>
      <c r="IY198" s="77"/>
      <c r="IZ198" s="77"/>
      <c r="JA198" s="77"/>
      <c r="JB198" s="77"/>
      <c r="JC198" s="77"/>
      <c r="JD198" s="77"/>
      <c r="JE198" s="77"/>
      <c r="JF198" s="77"/>
      <c r="JG198" s="77"/>
      <c r="JH198" s="77"/>
      <c r="JI198" s="77"/>
      <c r="JJ198" s="77"/>
    </row>
  </sheetData>
  <mergeCells count="141">
    <mergeCell ref="A163:D163"/>
    <mergeCell ref="E163:H163"/>
    <mergeCell ref="B187:C187"/>
    <mergeCell ref="D187:H187"/>
    <mergeCell ref="B191:C191"/>
    <mergeCell ref="B196:C196"/>
    <mergeCell ref="F109:F115"/>
    <mergeCell ref="F135:F137"/>
    <mergeCell ref="F143:F146"/>
    <mergeCell ref="E16:E17"/>
    <mergeCell ref="E26:E27"/>
    <mergeCell ref="E48:E49"/>
    <mergeCell ref="F84:F88"/>
    <mergeCell ref="F89:F90"/>
    <mergeCell ref="F154:F155"/>
    <mergeCell ref="HR138:HY138"/>
    <mergeCell ref="HZ138:IG138"/>
    <mergeCell ref="IH138:IO138"/>
    <mergeCell ref="IP138:IW138"/>
    <mergeCell ref="A140:H140"/>
    <mergeCell ref="A141:H141"/>
    <mergeCell ref="A151:H151"/>
    <mergeCell ref="A152:H152"/>
    <mergeCell ref="A162:D162"/>
    <mergeCell ref="E162:H162"/>
    <mergeCell ref="EX138:FE138"/>
    <mergeCell ref="FF138:FM138"/>
    <mergeCell ref="FN138:FU138"/>
    <mergeCell ref="FV138:GC138"/>
    <mergeCell ref="GD138:GK138"/>
    <mergeCell ref="GL138:GS138"/>
    <mergeCell ref="GT138:HA138"/>
    <mergeCell ref="HB138:HI138"/>
    <mergeCell ref="HJ138:HQ138"/>
    <mergeCell ref="HZ115:IG115"/>
    <mergeCell ref="IH115:IO115"/>
    <mergeCell ref="IP115:IW115"/>
    <mergeCell ref="A118:H118"/>
    <mergeCell ref="A119:H119"/>
    <mergeCell ref="A128:H128"/>
    <mergeCell ref="A129:H129"/>
    <mergeCell ref="R138:Y138"/>
    <mergeCell ref="Z138:AG138"/>
    <mergeCell ref="AH138:AO138"/>
    <mergeCell ref="AP138:AW138"/>
    <mergeCell ref="AX138:BE138"/>
    <mergeCell ref="BF138:BM138"/>
    <mergeCell ref="BN138:BU138"/>
    <mergeCell ref="BV138:CC138"/>
    <mergeCell ref="CD138:CK138"/>
    <mergeCell ref="CL138:CS138"/>
    <mergeCell ref="CT138:DA138"/>
    <mergeCell ref="DB138:DI138"/>
    <mergeCell ref="DJ138:DQ138"/>
    <mergeCell ref="DR138:DY138"/>
    <mergeCell ref="DZ138:EG138"/>
    <mergeCell ref="EH138:EO138"/>
    <mergeCell ref="EP138:EW138"/>
    <mergeCell ref="FF115:FM115"/>
    <mergeCell ref="FN115:FU115"/>
    <mergeCell ref="FV115:GC115"/>
    <mergeCell ref="GD115:GK115"/>
    <mergeCell ref="GL115:GS115"/>
    <mergeCell ref="GT115:HA115"/>
    <mergeCell ref="HB115:HI115"/>
    <mergeCell ref="HJ115:HQ115"/>
    <mergeCell ref="HR115:HY115"/>
    <mergeCell ref="CL115:CS115"/>
    <mergeCell ref="CT115:DA115"/>
    <mergeCell ref="DB115:DI115"/>
    <mergeCell ref="DJ115:DQ115"/>
    <mergeCell ref="DR115:DY115"/>
    <mergeCell ref="DZ115:EG115"/>
    <mergeCell ref="EH115:EO115"/>
    <mergeCell ref="EP115:EW115"/>
    <mergeCell ref="EX115:FE115"/>
    <mergeCell ref="R115:Y115"/>
    <mergeCell ref="Z115:AG115"/>
    <mergeCell ref="AH115:AO115"/>
    <mergeCell ref="AP115:AW115"/>
    <mergeCell ref="AX115:BE115"/>
    <mergeCell ref="BF115:BM115"/>
    <mergeCell ref="BN115:BU115"/>
    <mergeCell ref="BV115:CC115"/>
    <mergeCell ref="CD115:CK115"/>
    <mergeCell ref="HJ91:HQ91"/>
    <mergeCell ref="HR91:HY91"/>
    <mergeCell ref="HZ91:IG91"/>
    <mergeCell ref="IH91:IO91"/>
    <mergeCell ref="IP91:IW91"/>
    <mergeCell ref="A93:H93"/>
    <mergeCell ref="A94:H94"/>
    <mergeCell ref="A104:H104"/>
    <mergeCell ref="A105:H105"/>
    <mergeCell ref="EP91:EW91"/>
    <mergeCell ref="EX91:FE91"/>
    <mergeCell ref="FF91:FM91"/>
    <mergeCell ref="FN91:FU91"/>
    <mergeCell ref="FV91:GC91"/>
    <mergeCell ref="GD91:GK91"/>
    <mergeCell ref="GL91:GS91"/>
    <mergeCell ref="GT91:HA91"/>
    <mergeCell ref="HB91:HI91"/>
    <mergeCell ref="BV91:CC91"/>
    <mergeCell ref="CD91:CK91"/>
    <mergeCell ref="CL91:CS91"/>
    <mergeCell ref="CT91:DA91"/>
    <mergeCell ref="DB91:DI91"/>
    <mergeCell ref="DJ91:DQ91"/>
    <mergeCell ref="DR91:DY91"/>
    <mergeCell ref="DZ91:EG91"/>
    <mergeCell ref="EH91:EO91"/>
    <mergeCell ref="A77:H77"/>
    <mergeCell ref="A78:H78"/>
    <mergeCell ref="R91:Y91"/>
    <mergeCell ref="Z91:AG91"/>
    <mergeCell ref="AH91:AO91"/>
    <mergeCell ref="AP91:AW91"/>
    <mergeCell ref="AX91:BE91"/>
    <mergeCell ref="BF91:BM91"/>
    <mergeCell ref="BN91:BU91"/>
    <mergeCell ref="A22:H22"/>
    <mergeCell ref="A33:H33"/>
    <mergeCell ref="A34:H34"/>
    <mergeCell ref="A45:H45"/>
    <mergeCell ref="A46:H46"/>
    <mergeCell ref="A57:H57"/>
    <mergeCell ref="A58:H58"/>
    <mergeCell ref="A67:H67"/>
    <mergeCell ref="A68:H68"/>
    <mergeCell ref="E1:H1"/>
    <mergeCell ref="A5:H5"/>
    <mergeCell ref="A6:H6"/>
    <mergeCell ref="A7:H7"/>
    <mergeCell ref="A8:H8"/>
    <mergeCell ref="A10:H10"/>
    <mergeCell ref="A11:H11"/>
    <mergeCell ref="A21:H21"/>
    <mergeCell ref="O81:P81"/>
    <mergeCell ref="M81:N81"/>
    <mergeCell ref="K81:L81"/>
  </mergeCells>
  <phoneticPr fontId="31" type="noConversion"/>
  <pageMargins left="0.25" right="0.25" top="0.75" bottom="0.75" header="0" footer="0"/>
  <pageSetup orientation="portrait"/>
  <rowBreaks count="3" manualBreakCount="3">
    <brk id="32" man="1"/>
    <brk id="66" man="1"/>
    <brk id="10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Trieu</dc:creator>
  <cp:lastModifiedBy>Anh Thúy</cp:lastModifiedBy>
  <dcterms:created xsi:type="dcterms:W3CDTF">2011-04-17T09:26:00Z</dcterms:created>
  <dcterms:modified xsi:type="dcterms:W3CDTF">2026-03-18T08:43:13Z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550F9DA19E1C4140A79713288A6A4591_13</vt:lpwstr>
  </property>
  <property fmtid="{D5CDD505-2E9C-101B-9397-08002B2CF9AE}" pid="3" name="KSOProductBuildVer">
    <vt:lpwstr>1033-12.1.23152.23152</vt:lpwstr>
  </property>
</Properties>
</file>